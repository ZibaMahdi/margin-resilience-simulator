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zibamahdi/margin-resilience-simulator/excel/"/>
    </mc:Choice>
  </mc:AlternateContent>
  <xr:revisionPtr revIDLastSave="0" documentId="13_ncr:1_{6245D072-0D97-7044-A0FD-FC0C2E8AA0F1}" xr6:coauthVersionLast="47" xr6:coauthVersionMax="47" xr10:uidLastSave="{00000000-0000-0000-0000-000000000000}"/>
  <bookViews>
    <workbookView xWindow="0" yWindow="500" windowWidth="17360" windowHeight="13100" tabRatio="500" activeTab="2" xr2:uid="{00000000-000D-0000-FFFF-FFFF00000000}"/>
  </bookViews>
  <sheets>
    <sheet name="COGS_Decomposition" sheetId="1" r:id="rId1"/>
    <sheet name="Scenario_Engine" sheetId="2" r:id="rId2"/>
    <sheet name="Peer_Context" sheetId="3" r:id="rId3"/>
  </sheets>
  <definedNames>
    <definedName name="_xlnm.Print_Area" localSheetId="0">COGS_Decomposition!$A$1:$L$28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" i="3" l="1"/>
  <c r="G16" i="3"/>
  <c r="H15" i="3"/>
  <c r="G15" i="3"/>
  <c r="H14" i="3"/>
  <c r="G14" i="3"/>
  <c r="H13" i="3"/>
  <c r="G13" i="3"/>
  <c r="H9" i="3"/>
  <c r="G9" i="3"/>
  <c r="H8" i="3"/>
  <c r="G8" i="3"/>
  <c r="H7" i="3"/>
  <c r="G7" i="3"/>
  <c r="H6" i="3"/>
  <c r="G6" i="3"/>
  <c r="K28" i="1"/>
  <c r="J28" i="1"/>
  <c r="K27" i="1"/>
  <c r="J27" i="1"/>
  <c r="K26" i="1"/>
  <c r="J26" i="1"/>
  <c r="K25" i="1"/>
  <c r="J25" i="1"/>
  <c r="K24" i="1"/>
  <c r="J24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<sst xmlns="http://schemas.openxmlformats.org/spreadsheetml/2006/main" count="700" uniqueCount="167">
  <si>
    <t>COGS Decomposition — HUL Cost Structure Proxy &amp; SKU Commodity Exposure</t>
  </si>
  <si>
    <t>Source: HUL Annual Reports FY2020–FY2024 (NSE/BSE) | Structural proxy for Unilever Bangladesh segment economics | Blue = hardcoded inputs  |  Black = formulas  |  Green = cross-sheet links</t>
  </si>
  <si>
    <t>SECTION 1 — HUL Blended Cost Structure (% of Net Revenue)</t>
  </si>
  <si>
    <t>Cost Line</t>
  </si>
  <si>
    <t>FY2020</t>
  </si>
  <si>
    <t>FY2021</t>
  </si>
  <si>
    <t>FY2022</t>
  </si>
  <si>
    <t>FY2023</t>
  </si>
  <si>
    <t>FY2024</t>
  </si>
  <si>
    <t>5Y Avg</t>
  </si>
  <si>
    <t>Materials &amp; Packaging</t>
  </si>
  <si>
    <t>Employee Costs</t>
  </si>
  <si>
    <t>Advertising &amp; Promotions</t>
  </si>
  <si>
    <t>Manufacturing Overhead</t>
  </si>
  <si>
    <t>Royalty &amp; Licence</t>
  </si>
  <si>
    <t>Other Operating Costs</t>
  </si>
  <si>
    <t>EBIT Margin (implied)</t>
  </si>
  <si>
    <t>SECTION 2 — Commodity Exposure Within Materials Cost</t>
  </si>
  <si>
    <t>Commodity Input</t>
  </si>
  <si>
    <t>HPC Weight</t>
  </si>
  <si>
    <t>BPC Weight</t>
  </si>
  <si>
    <t>Import Denominated?</t>
  </si>
  <si>
    <t>FX-Sensitive?</t>
  </si>
  <si>
    <t>Palm-Linked?</t>
  </si>
  <si>
    <t>Notes</t>
  </si>
  <si>
    <t>Palm Oil &amp; Derivatives</t>
  </si>
  <si>
    <t>Yes</t>
  </si>
  <si>
    <t>Soap noodles, SLES, fatty acids</t>
  </si>
  <si>
    <t>Petrochemicals / LAB</t>
  </si>
  <si>
    <t>No</t>
  </si>
  <si>
    <t>Linear alkylbenzene for detergents</t>
  </si>
  <si>
    <t>Packaging (Plastic/Laminate)</t>
  </si>
  <si>
    <t>Resin, BOPP, aluminium foil</t>
  </si>
  <si>
    <t>Fragrance &amp; Actives</t>
  </si>
  <si>
    <t>Perfume compounds, shampoo actives</t>
  </si>
  <si>
    <t>Other Agricultural Inputs</t>
  </si>
  <si>
    <t>Starch, guar gum, glycerine</t>
  </si>
  <si>
    <t>Domestic Inputs (soda ash, NaOH)</t>
  </si>
  <si>
    <t>Locally sourced; BDT-denominated</t>
  </si>
  <si>
    <t>SECTION 3 — 5-SKU Portfolio: Import Intensity &amp; Commodity Exposure Profile</t>
  </si>
  <si>
    <t>SKU ID</t>
  </si>
  <si>
    <t>Product Name</t>
  </si>
  <si>
    <t>Segment</t>
  </si>
  <si>
    <t>Category</t>
  </si>
  <si>
    <t>Import Intensity
(% COGS)</t>
  </si>
  <si>
    <t>Palm Oil Exposure
(% COGS)</t>
  </si>
  <si>
    <t>Base ASP (BDT)</t>
  </si>
  <si>
    <t>Base Gross Margin</t>
  </si>
  <si>
    <t>Palm COGS %</t>
  </si>
  <si>
    <t>Other Import %</t>
  </si>
  <si>
    <t>Domestic COGS %</t>
  </si>
  <si>
    <t>SKU-01</t>
  </si>
  <si>
    <t>Premium Face Moisturiser</t>
  </si>
  <si>
    <t>BPC</t>
  </si>
  <si>
    <t>Skin Care</t>
  </si>
  <si>
    <t>Premium end — imported actives, fragrance, packaging</t>
  </si>
  <si>
    <t>SKU-02</t>
  </si>
  <si>
    <t>Anti-Dandruff Shampoo</t>
  </si>
  <si>
    <t>Hair Care</t>
  </si>
  <si>
    <t>SLES (palm-derived), ZPT active imported</t>
  </si>
  <si>
    <t>SKU-03</t>
  </si>
  <si>
    <t>Bar Soap (Premium)</t>
  </si>
  <si>
    <t>Pers. Wash</t>
  </si>
  <si>
    <t>High palm exposure via soap noodles; partial local production</t>
  </si>
  <si>
    <t>SKU-04</t>
  </si>
  <si>
    <t>Liquid Dish Wash</t>
  </si>
  <si>
    <t>HPC</t>
  </si>
  <si>
    <t>Home Care</t>
  </si>
  <si>
    <t>Mid import intensity; surfactants from palm, rest domestic</t>
  </si>
  <si>
    <t>SKU-05</t>
  </si>
  <si>
    <t>Fabric Wash Powder</t>
  </si>
  <si>
    <t>Laundry</t>
  </si>
  <si>
    <t>Most domestic-input-heavy — soda ash, salt locally sourced</t>
  </si>
  <si>
    <t>Scenario Engine — Gross Margin % Impact Under Palm Oil Price &amp; BDT/USD Depreciation Shocks  |  Three Pass-Through Strategies per SKU</t>
  </si>
  <si>
    <t>Blue = hardcoded inputs  |  Black = formulas  |  Each matrix: columns = BDT/USD depreciation shock vs Dec-2024 base (BDT 121)  |  Rows = Palm oil price shock vs Dec-2024 base (USD 980/MT)  |  Shaded cells: GM &lt; 30% = red risk zone</t>
  </si>
  <si>
    <t>MACRO ASSUMPTIONS (Override Here)</t>
  </si>
  <si>
    <t>Base Palm Oil Price (USD/MT)</t>
  </si>
  <si>
    <t>Source: World Bank Pink Sheet Dec-2024</t>
  </si>
  <si>
    <t>Base BDT/USD Rate</t>
  </si>
  <si>
    <t>Source: Bangladesh Bank Dec-2024</t>
  </si>
  <si>
    <t>Target Gross Margin Floor (%)</t>
  </si>
  <si>
    <t>Management-defined floor for risk flagging</t>
  </si>
  <si>
    <t>SKU: Premium Face Moisturiser  |  Base GM: 54%  |  Palm Exposure: 28%  |  Import Intensity: 72%</t>
  </si>
  <si>
    <t>Zero Pass-Through — Full cost absorbed — price held flat</t>
  </si>
  <si>
    <t>Palm Shock ↓ / FX →</t>
  </si>
  <si>
    <t>FX +0%</t>
  </si>
  <si>
    <t>FX +5%</t>
  </si>
  <si>
    <t>FX +10%</t>
  </si>
  <si>
    <t>FX +15%</t>
  </si>
  <si>
    <t>FX +20%</t>
  </si>
  <si>
    <t>FX +25%</t>
  </si>
  <si>
    <t>FX +30%</t>
  </si>
  <si>
    <t>Palm -20%</t>
  </si>
  <si>
    <t>Palm -10%</t>
  </si>
  <si>
    <t>Palm +0%</t>
  </si>
  <si>
    <t>Palm +10%</t>
  </si>
  <si>
    <t>Palm +20%</t>
  </si>
  <si>
    <t>Palm +30%</t>
  </si>
  <si>
    <t>Palm +40%</t>
  </si>
  <si>
    <t>Palm +50%</t>
  </si>
  <si>
    <t>Required Retail Price Increase % to Defend Base Gross Margin (Full Pass-Through Reference for Zero Pass-Through)</t>
  </si>
  <si>
    <t>50% Pass-Through — Half the cost increase passed to consumer</t>
  </si>
  <si>
    <t>Required Retail Price Increase % to Defend Base Gross Margin (Full Pass-Through Reference for 50% Pass-Through)</t>
  </si>
  <si>
    <t>Full Pass-Through — Price raised to defend base gross margin</t>
  </si>
  <si>
    <t>Required Retail Price Increase % to Defend Base Gross Margin (Full Pass-Through Reference for Full Pass-Through)</t>
  </si>
  <si>
    <t>SKU: Anti-Dandruff Shampoo  |  Base GM: 48%  |  Palm Exposure: 30%  |  Import Intensity: 58%</t>
  </si>
  <si>
    <t>SKU: Bar Soap (Premium)  |  Base GM: 40%  |  Palm Exposure: 42%  |  Import Intensity: 50%</t>
  </si>
  <si>
    <t>SKU: Liquid Dish Wash  |  Base GM: 38%  |  Palm Exposure: 35%  |  Import Intensity: 38%</t>
  </si>
  <si>
    <t>SKU: Fabric Wash Powder  |  Base GM: 34%  |  Palm Exposure: 22%  |  Import Intensity: 28%</t>
  </si>
  <si>
    <t>Peer Context — HUL Segment Financials FY2020–FY2024  |  Benchmark for Bangladesh FMCG Margin Resilience Analysis</t>
  </si>
  <si>
    <t>Source: HUL Annual Reports (NSE/BSE) | Revenue in INR Crore | Unilever Bangladesh is internally benchmarked against HUL segment economics</t>
  </si>
  <si>
    <t>Home Care (HPC) — Revenue, EBIT &amp; Margin</t>
  </si>
  <si>
    <t>Metric</t>
  </si>
  <si>
    <t>CAGR (4Y)</t>
  </si>
  <si>
    <t>FY24 vs FY20</t>
  </si>
  <si>
    <t>Commentary</t>
  </si>
  <si>
    <t>Revenue (INR Cr)</t>
  </si>
  <si>
    <t>Revenue recovery post-COVID; driven by value growth</t>
  </si>
  <si>
    <t>EBIT (INR Cr)</t>
  </si>
  <si>
    <t>Margin pressure in FY22-23 from commodity supercycle</t>
  </si>
  <si>
    <t>EBIT Margin %</t>
  </si>
  <si>
    <t>Structural 18-19% EBIT band despite input volatility</t>
  </si>
  <si>
    <t>Materials % Rev</t>
  </si>
  <si>
    <t>Peak materials % in FY23; palm oil/petrochem surge</t>
  </si>
  <si>
    <t>Beauty &amp; Personal Care (BPC) — Revenue, EBIT &amp; Margin</t>
  </si>
  <si>
    <t>Consistent high-single-digit volume + price growth</t>
  </si>
  <si>
    <t>Earnings resilience vs HPC — premiumisation buffer</t>
  </si>
  <si>
    <t>~24-27% structural EBIT; strong brand pricing power</t>
  </si>
  <si>
    <t>Lower materials % than HPC; better commodity mix</t>
  </si>
  <si>
    <t>Commodity Shock Context — Palm Oil Price &amp; HUL Materials % Correlation</t>
  </si>
  <si>
    <t>Period</t>
  </si>
  <si>
    <t>Palm Oil (USD/MT)</t>
  </si>
  <si>
    <t>YoY Change</t>
  </si>
  <si>
    <t>BDT/USD</t>
  </si>
  <si>
    <t>YoY Depr.</t>
  </si>
  <si>
    <t>HUL Materials %</t>
  </si>
  <si>
    <t>HUL GM Impact</t>
  </si>
  <si>
    <t>Observed Pricing Action</t>
  </si>
  <si>
    <t>−21%</t>
  </si>
  <si>
    <t>+0.6%</t>
  </si>
  <si>
    <t>41.5%</t>
  </si>
  <si>
    <t>Stable</t>
  </si>
  <si>
    <t>Held — demand sensitivity</t>
  </si>
  <si>
    <t>Pre-COVID stable commodity env.</t>
  </si>
  <si>
    <t>+26%</t>
  </si>
  <si>
    <t>−0.1%</t>
  </si>
  <si>
    <t>40.3%</t>
  </si>
  <si>
    <t>+0.6pp</t>
  </si>
  <si>
    <t>Partial — COVID constraints</t>
  </si>
  <si>
    <t>Early commodity recovery</t>
  </si>
  <si>
    <t>+70%</t>
  </si>
  <si>
    <t>+2.8%</t>
  </si>
  <si>
    <t>43.2%</t>
  </si>
  <si>
    <t>−2.6pp</t>
  </si>
  <si>
    <t>Partial — competitive market</t>
  </si>
  <si>
    <t>Commodity supercycle begins</t>
  </si>
  <si>
    <t>−16%</t>
  </si>
  <si>
    <t>+19.5%</t>
  </si>
  <si>
    <t>45.1%</t>
  </si>
  <si>
    <t>−1.9pp</t>
  </si>
  <si>
    <t>Full — pricing leadership</t>
  </si>
  <si>
    <t>FX shock amplifies; BPC leads price</t>
  </si>
  <si>
    <t>−12%</t>
  </si>
  <si>
    <t>+14.2%</t>
  </si>
  <si>
    <t>+1.9pp</t>
  </si>
  <si>
    <t>Hold &amp; trade-up</t>
  </si>
  <si>
    <t>Commodity retreat; portfolio mix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</si>
</sst>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;\(0.0%\);\-"/>
    <numFmt numFmtId="165" formatCode="\৳#,##0;&quot;(৳&quot;#,##0\);\-"/>
    <numFmt numFmtId="166" formatCode="#,##0;\(#,##0\);\-"/>
  </numFmts>
  <fonts count="24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b/>
      <sz val="10"/>
      <color rgb="FF1B2A4A"/>
      <name val="Arial"/>
      <family val="2"/>
    </font>
    <font>
      <sz val="10"/>
      <color rgb="FF1A1A1A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1A1A1A"/>
      <name val="Arial"/>
      <family val="2"/>
    </font>
    <font>
      <b/>
      <sz val="10"/>
      <color rgb="FF0000FF"/>
      <name val="Arial"/>
      <family val="2"/>
    </font>
    <font>
      <b/>
      <sz val="10"/>
      <color rgb="FF1A7A4A"/>
      <name val="Arial"/>
      <family val="2"/>
    </font>
    <font>
      <sz val="10"/>
      <color rgb="FF888888"/>
      <name val="Arial"/>
      <family val="2"/>
    </font>
    <font>
      <b/>
      <sz val="10"/>
      <color rgb="FF1A5276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i/>
      <sz val="9"/>
      <color rgb="FF444444"/>
      <name val="Arial"/>
      <family val="2"/>
    </font>
    <font>
      <i/>
      <sz val="9"/>
      <color rgb="FF777777"/>
      <name val="Arial"/>
      <family val="2"/>
    </font>
    <font>
      <b/>
      <sz val="9"/>
      <color rgb="FFFFFFFF"/>
      <name val="Arial"/>
      <family val="2"/>
    </font>
    <font>
      <sz val="10"/>
      <color rgb="FF1A7A4A"/>
      <name val="Arial"/>
      <family val="2"/>
    </font>
    <font>
      <sz val="10"/>
      <name val="Arial"/>
      <family val="2"/>
    </font>
    <font>
      <sz val="10"/>
      <color rgb="FFA04000"/>
      <name val="Arial"/>
      <family val="2"/>
    </font>
    <font>
      <b/>
      <sz val="10"/>
      <color rgb="FFC0392B"/>
      <name val="Arial"/>
      <family val="2"/>
    </font>
    <font>
      <b/>
      <i/>
      <sz val="9"/>
      <color rgb="FF1B2A4A"/>
      <name val="Arial"/>
      <family val="2"/>
    </font>
    <font>
      <i/>
      <sz val="9"/>
      <color rgb="FF666666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B2A4A"/>
        <bgColor rgb="FF1A1A1A"/>
      </patternFill>
    </fill>
    <fill>
      <patternFill patternType="solid">
        <fgColor rgb="FFF2F4F6"/>
        <bgColor rgb="FFEAF4FB"/>
      </patternFill>
    </fill>
    <fill>
      <patternFill patternType="solid">
        <fgColor rgb="FF0E7C7B"/>
        <bgColor rgb="FF1A7A4A"/>
      </patternFill>
    </fill>
    <fill>
      <patternFill patternType="solid">
        <fgColor rgb="FFD4EDEC"/>
        <bgColor rgb="FFD5F5E3"/>
      </patternFill>
    </fill>
    <fill>
      <patternFill patternType="solid">
        <fgColor rgb="FFFFFFFF"/>
        <bgColor rgb="FFF9F9F9"/>
      </patternFill>
    </fill>
    <fill>
      <patternFill patternType="solid">
        <fgColor rgb="FFE8F5E9"/>
        <bgColor rgb="FFEAFAF1"/>
      </patternFill>
    </fill>
    <fill>
      <patternFill patternType="solid">
        <fgColor rgb="FFEAF4FB"/>
        <bgColor rgb="FFF2F4F6"/>
      </patternFill>
    </fill>
    <fill>
      <patternFill patternType="solid">
        <fgColor rgb="FFEAFAF1"/>
        <bgColor rgb="FFE8F5E9"/>
      </patternFill>
    </fill>
    <fill>
      <patternFill patternType="solid">
        <fgColor rgb="FFF5A623"/>
        <bgColor rgb="FFFFCC00"/>
      </patternFill>
    </fill>
    <fill>
      <patternFill patternType="solid">
        <fgColor rgb="FFFEF3DC"/>
        <bgColor rgb="FFFDEBD0"/>
      </patternFill>
    </fill>
    <fill>
      <patternFill patternType="solid">
        <fgColor rgb="FFD5F5E3"/>
        <bgColor rgb="FFD4EDEC"/>
      </patternFill>
    </fill>
    <fill>
      <patternFill patternType="solid">
        <fgColor rgb="FFFDEBD0"/>
        <bgColor rgb="FFFEF3DC"/>
      </patternFill>
    </fill>
    <fill>
      <patternFill patternType="solid">
        <fgColor rgb="FFFADBD8"/>
        <bgColor rgb="FFFDEBD0"/>
      </patternFill>
    </fill>
    <fill>
      <patternFill patternType="solid">
        <fgColor rgb="FFF9F9F9"/>
        <bgColor rgb="FFF2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2" fillId="3" borderId="0" xfId="0" applyFont="1" applyFill="1" applyAlignment="1">
      <alignment horizontal="left" indent="1"/>
    </xf>
    <xf numFmtId="0" fontId="17" fillId="4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5" borderId="0" xfId="0" applyFont="1" applyFill="1" applyAlignment="1">
      <alignment horizontal="left" vertical="center"/>
    </xf>
    <xf numFmtId="164" fontId="9" fillId="5" borderId="0" xfId="0" applyNumberFormat="1" applyFont="1" applyFill="1" applyAlignment="1">
      <alignment horizontal="center"/>
    </xf>
    <xf numFmtId="0" fontId="5" fillId="0" borderId="0" xfId="0" applyFont="1" applyAlignment="1">
      <alignment horizontal="left" vertical="center" indent="1"/>
    </xf>
    <xf numFmtId="0" fontId="10" fillId="7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 indent="1"/>
    </xf>
    <xf numFmtId="164" fontId="6" fillId="3" borderId="0" xfId="0" applyNumberFormat="1" applyFont="1" applyFill="1" applyAlignment="1">
      <alignment horizontal="center"/>
    </xf>
    <xf numFmtId="0" fontId="1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0" fontId="12" fillId="8" borderId="0" xfId="0" applyFont="1" applyFill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10" fillId="9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left" vertical="center"/>
    </xf>
    <xf numFmtId="166" fontId="6" fillId="11" borderId="0" xfId="0" applyNumberFormat="1" applyFont="1" applyFill="1" applyAlignment="1">
      <alignment horizontal="center"/>
    </xf>
    <xf numFmtId="0" fontId="16" fillId="0" borderId="0" xfId="0" applyFont="1" applyAlignment="1">
      <alignment horizontal="left" vertical="center" indent="1"/>
    </xf>
    <xf numFmtId="164" fontId="6" fillId="11" borderId="0" xfId="0" applyNumberFormat="1" applyFont="1" applyFill="1" applyAlignment="1">
      <alignment horizontal="center"/>
    </xf>
    <xf numFmtId="164" fontId="18" fillId="12" borderId="0" xfId="0" applyNumberFormat="1" applyFont="1" applyFill="1" applyAlignment="1">
      <alignment horizontal="center"/>
    </xf>
    <xf numFmtId="164" fontId="19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164" fontId="20" fillId="13" borderId="0" xfId="0" applyNumberFormat="1" applyFont="1" applyFill="1" applyAlignment="1">
      <alignment horizontal="center"/>
    </xf>
    <xf numFmtId="164" fontId="21" fillId="14" borderId="0" xfId="0" applyNumberFormat="1" applyFont="1" applyFill="1" applyAlignment="1">
      <alignment horizontal="center"/>
    </xf>
    <xf numFmtId="164" fontId="19" fillId="11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left" vertical="center"/>
    </xf>
    <xf numFmtId="166" fontId="6" fillId="3" borderId="0" xfId="0" applyNumberFormat="1" applyFont="1" applyFill="1" applyAlignment="1">
      <alignment horizontal="center"/>
    </xf>
    <xf numFmtId="0" fontId="23" fillId="0" borderId="0" xfId="0" applyFont="1" applyAlignment="1">
      <alignment horizontal="left" wrapText="1" indent="1"/>
    </xf>
    <xf numFmtId="0" fontId="8" fillId="6" borderId="0" xfId="0" applyFont="1" applyFill="1" applyAlignment="1">
      <alignment horizontal="left" vertical="center"/>
    </xf>
    <xf numFmtId="166" fontId="6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166" fontId="6" fillId="15" borderId="0" xfId="0" applyNumberFormat="1" applyFont="1" applyFill="1" applyAlignment="1">
      <alignment horizontal="center"/>
    </xf>
    <xf numFmtId="0" fontId="5" fillId="15" borderId="0" xfId="0" applyFont="1" applyFill="1" applyAlignment="1">
      <alignment horizontal="center" vertical="center"/>
    </xf>
    <xf numFmtId="0" fontId="23" fillId="15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E8F5E9"/>
      <rgbColor rgb="FF888888"/>
      <rgbColor rgb="FF9999FF"/>
      <rgbColor rgb="FFC0392B"/>
      <rgbColor rgb="FFFEF3DC"/>
      <rgbColor rgb="FFD4EDEC"/>
      <rgbColor rgb="FF660066"/>
      <rgbColor rgb="FFFF8080"/>
      <rgbColor rgb="FF0066CC"/>
      <rgbColor rgb="FFEAF4FB"/>
      <rgbColor rgb="FF000080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EAFAF1"/>
      <rgbColor rgb="FFD5F5E3"/>
      <rgbColor rgb="FFFDEBD0"/>
      <rgbColor rgb="FFF2F4F6"/>
      <rgbColor rgb="FFF9F9F9"/>
      <rgbColor rgb="FFCC99FF"/>
      <rgbColor rgb="FFFADBD8"/>
      <rgbColor rgb="FF3366FF"/>
      <rgbColor rgb="FF33CCCC"/>
      <rgbColor rgb="FF99CC00"/>
      <rgbColor rgb="FFFFCC00"/>
      <rgbColor rgb="FFF5A623"/>
      <rgbColor rgb="FFFF6600"/>
      <rgbColor rgb="FF666666"/>
      <rgbColor rgb="FF777777"/>
      <rgbColor rgb="FF1A5276"/>
      <rgbColor rgb="FF339966"/>
      <rgbColor rgb="FF003300"/>
      <rgbColor rgb="FF1A1A1A"/>
      <rgbColor rgb="FFA04000"/>
      <rgbColor rgb="FF555555"/>
      <rgbColor rgb="FF444444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12" sqref="A12"/>
    </sheetView>
  </sheetViews>
  <sheetFormatPr baseColWidth="10" defaultColWidth="8.6640625" defaultRowHeight="15" x14ac:dyDescent="0.2"/>
  <cols>
    <col min="1" max="1" width="18" customWidth="1"/>
    <col min="2" max="2" width="26" customWidth="1"/>
    <col min="3" max="3" width="12.33203125" customWidth="1"/>
    <col min="4" max="4" width="18" customWidth="1"/>
    <col min="5" max="5" width="13" customWidth="1"/>
    <col min="6" max="6" width="19.1640625" customWidth="1"/>
    <col min="7" max="7" width="32.5" customWidth="1"/>
    <col min="8" max="8" width="14" customWidth="1"/>
    <col min="9" max="9" width="12" customWidth="1"/>
    <col min="10" max="10" width="13" customWidth="1"/>
    <col min="11" max="11" width="14" customWidth="1"/>
    <col min="12" max="12" width="38" customWidth="1"/>
  </cols>
  <sheetData>
    <row r="1" spans="1:12" ht="27.7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5.75" customHeight="1" x14ac:dyDescent="0.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7.5" customHeight="1" x14ac:dyDescent="0.2"/>
    <row r="4" spans="1:12" ht="19.5" customHeight="1" x14ac:dyDescent="0.2">
      <c r="A4" s="7" t="s">
        <v>2</v>
      </c>
      <c r="B4" s="7"/>
      <c r="C4" s="7"/>
      <c r="D4" s="7"/>
      <c r="E4" s="7"/>
      <c r="F4" s="7"/>
      <c r="G4" s="7"/>
    </row>
    <row r="5" spans="1:12" ht="18" customHeight="1" x14ac:dyDescent="0.2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</row>
    <row r="6" spans="1:12" x14ac:dyDescent="0.2">
      <c r="A6" s="12" t="s">
        <v>10</v>
      </c>
      <c r="B6" s="13">
        <v>0.41499999999999998</v>
      </c>
      <c r="C6" s="13">
        <v>0.40300000000000002</v>
      </c>
      <c r="D6" s="13">
        <v>0.432</v>
      </c>
      <c r="E6" s="13">
        <v>0.45100000000000001</v>
      </c>
      <c r="F6" s="13">
        <v>0.432</v>
      </c>
      <c r="G6" s="14">
        <f t="shared" ref="G6:G12" si="0">AVERAGE(B6:F6)</f>
        <v>0.42659999999999998</v>
      </c>
    </row>
    <row r="7" spans="1:12" x14ac:dyDescent="0.2">
      <c r="A7" s="12" t="s">
        <v>11</v>
      </c>
      <c r="B7" s="13">
        <v>7.8E-2</v>
      </c>
      <c r="C7" s="13">
        <v>7.9000000000000001E-2</v>
      </c>
      <c r="D7" s="13">
        <v>7.6999999999999999E-2</v>
      </c>
      <c r="E7" s="13">
        <v>7.6999999999999999E-2</v>
      </c>
      <c r="F7" s="13">
        <v>7.8E-2</v>
      </c>
      <c r="G7" s="14">
        <f t="shared" si="0"/>
        <v>7.7800000000000008E-2</v>
      </c>
    </row>
    <row r="8" spans="1:12" x14ac:dyDescent="0.2">
      <c r="A8" s="12" t="s">
        <v>12</v>
      </c>
      <c r="B8" s="13">
        <v>0.108</v>
      </c>
      <c r="C8" s="13">
        <v>0.112</v>
      </c>
      <c r="D8" s="13">
        <v>0.109</v>
      </c>
      <c r="E8" s="13">
        <v>9.9000000000000005E-2</v>
      </c>
      <c r="F8" s="13">
        <v>0.10199999999999999</v>
      </c>
      <c r="G8" s="14">
        <f t="shared" si="0"/>
        <v>0.10600000000000001</v>
      </c>
    </row>
    <row r="9" spans="1:12" x14ac:dyDescent="0.2">
      <c r="A9" s="12" t="s">
        <v>13</v>
      </c>
      <c r="B9" s="13">
        <v>7.1999999999999995E-2</v>
      </c>
      <c r="C9" s="13">
        <v>7.0999999999999994E-2</v>
      </c>
      <c r="D9" s="13">
        <v>7.1999999999999995E-2</v>
      </c>
      <c r="E9" s="13">
        <v>7.2999999999999995E-2</v>
      </c>
      <c r="F9" s="13">
        <v>7.2999999999999995E-2</v>
      </c>
      <c r="G9" s="14">
        <f t="shared" si="0"/>
        <v>7.22E-2</v>
      </c>
    </row>
    <row r="10" spans="1:12" x14ac:dyDescent="0.2">
      <c r="A10" s="12" t="s">
        <v>14</v>
      </c>
      <c r="B10" s="13">
        <v>3.5000000000000003E-2</v>
      </c>
      <c r="C10" s="13">
        <v>3.5000000000000003E-2</v>
      </c>
      <c r="D10" s="13">
        <v>3.5000000000000003E-2</v>
      </c>
      <c r="E10" s="13">
        <v>3.5000000000000003E-2</v>
      </c>
      <c r="F10" s="13">
        <v>3.5000000000000003E-2</v>
      </c>
      <c r="G10" s="14">
        <f t="shared" si="0"/>
        <v>3.5000000000000003E-2</v>
      </c>
    </row>
    <row r="11" spans="1:12" x14ac:dyDescent="0.2">
      <c r="A11" s="12" t="s">
        <v>15</v>
      </c>
      <c r="B11" s="13">
        <v>3.2000000000000001E-2</v>
      </c>
      <c r="C11" s="13">
        <v>3.4000000000000002E-2</v>
      </c>
      <c r="D11" s="13">
        <v>3.3000000000000002E-2</v>
      </c>
      <c r="E11" s="13">
        <v>0.03</v>
      </c>
      <c r="F11" s="13">
        <v>3.1E-2</v>
      </c>
      <c r="G11" s="14">
        <f t="shared" si="0"/>
        <v>3.2000000000000001E-2</v>
      </c>
    </row>
    <row r="12" spans="1:12" ht="22" customHeight="1" x14ac:dyDescent="0.2">
      <c r="A12" s="15" t="s">
        <v>16</v>
      </c>
      <c r="B12" s="16">
        <v>0.26</v>
      </c>
      <c r="C12" s="16">
        <v>0.26600000000000001</v>
      </c>
      <c r="D12" s="16">
        <v>0.24199999999999999</v>
      </c>
      <c r="E12" s="16">
        <v>0.23499999999999999</v>
      </c>
      <c r="F12" s="16">
        <v>0.249</v>
      </c>
      <c r="G12" s="14">
        <f t="shared" si="0"/>
        <v>0.25040000000000007</v>
      </c>
    </row>
    <row r="13" spans="1:12" ht="19.5" customHeight="1" x14ac:dyDescent="0.2">
      <c r="A13" s="7" t="s">
        <v>17</v>
      </c>
      <c r="B13" s="7"/>
      <c r="C13" s="7"/>
      <c r="D13" s="7"/>
      <c r="E13" s="7"/>
      <c r="F13" s="7"/>
      <c r="G13" s="7"/>
    </row>
    <row r="14" spans="1:12" ht="18" customHeight="1" x14ac:dyDescent="0.2">
      <c r="A14" s="11" t="s">
        <v>18</v>
      </c>
      <c r="B14" s="11" t="s">
        <v>19</v>
      </c>
      <c r="C14" s="11" t="s">
        <v>20</v>
      </c>
      <c r="D14" s="11" t="s">
        <v>21</v>
      </c>
      <c r="E14" s="11" t="s">
        <v>22</v>
      </c>
      <c r="F14" s="11" t="s">
        <v>23</v>
      </c>
      <c r="G14" s="11" t="s">
        <v>24</v>
      </c>
    </row>
    <row r="15" spans="1:12" x14ac:dyDescent="0.2">
      <c r="A15" s="17" t="s">
        <v>25</v>
      </c>
      <c r="B15" s="13">
        <v>0.32</v>
      </c>
      <c r="C15" s="13">
        <v>0.28000000000000003</v>
      </c>
      <c r="D15" s="18" t="s">
        <v>26</v>
      </c>
      <c r="E15" s="18" t="s">
        <v>26</v>
      </c>
      <c r="F15" s="18" t="s">
        <v>26</v>
      </c>
      <c r="G15" s="19" t="s">
        <v>27</v>
      </c>
    </row>
    <row r="16" spans="1:12" x14ac:dyDescent="0.2">
      <c r="A16" s="20" t="s">
        <v>28</v>
      </c>
      <c r="B16" s="21">
        <v>0.18</v>
      </c>
      <c r="C16" s="21">
        <v>0.05</v>
      </c>
      <c r="D16" s="18" t="s">
        <v>26</v>
      </c>
      <c r="E16" s="18" t="s">
        <v>26</v>
      </c>
      <c r="F16" s="22" t="s">
        <v>29</v>
      </c>
      <c r="G16" s="23" t="s">
        <v>30</v>
      </c>
    </row>
    <row r="17" spans="1:12" x14ac:dyDescent="0.2">
      <c r="A17" s="17" t="s">
        <v>31</v>
      </c>
      <c r="B17" s="13">
        <v>0.2</v>
      </c>
      <c r="C17" s="13">
        <v>0.22</v>
      </c>
      <c r="D17" s="18" t="s">
        <v>26</v>
      </c>
      <c r="E17" s="18" t="s">
        <v>26</v>
      </c>
      <c r="F17" s="24" t="s">
        <v>29</v>
      </c>
      <c r="G17" s="19" t="s">
        <v>32</v>
      </c>
    </row>
    <row r="18" spans="1:12" x14ac:dyDescent="0.2">
      <c r="A18" s="20" t="s">
        <v>33</v>
      </c>
      <c r="B18" s="21">
        <v>0.08</v>
      </c>
      <c r="C18" s="21">
        <v>0.2</v>
      </c>
      <c r="D18" s="18" t="s">
        <v>26</v>
      </c>
      <c r="E18" s="18" t="s">
        <v>26</v>
      </c>
      <c r="F18" s="22" t="s">
        <v>29</v>
      </c>
      <c r="G18" s="23" t="s">
        <v>34</v>
      </c>
    </row>
    <row r="19" spans="1:12" x14ac:dyDescent="0.2">
      <c r="A19" s="17" t="s">
        <v>35</v>
      </c>
      <c r="B19" s="13">
        <v>0.12</v>
      </c>
      <c r="C19" s="13">
        <v>0.15</v>
      </c>
      <c r="D19" s="18" t="s">
        <v>26</v>
      </c>
      <c r="E19" s="18" t="s">
        <v>26</v>
      </c>
      <c r="F19" s="24" t="s">
        <v>29</v>
      </c>
      <c r="G19" s="19" t="s">
        <v>36</v>
      </c>
    </row>
    <row r="20" spans="1:12" x14ac:dyDescent="0.2">
      <c r="A20" s="20" t="s">
        <v>37</v>
      </c>
      <c r="B20" s="21">
        <v>0.1</v>
      </c>
      <c r="C20" s="21">
        <v>0.1</v>
      </c>
      <c r="D20" s="22" t="s">
        <v>29</v>
      </c>
      <c r="E20" s="22" t="s">
        <v>29</v>
      </c>
      <c r="F20" s="22" t="s">
        <v>29</v>
      </c>
      <c r="G20" s="23" t="s">
        <v>38</v>
      </c>
    </row>
    <row r="21" spans="1:12" ht="7.5" customHeight="1" x14ac:dyDescent="0.2"/>
    <row r="22" spans="1:12" ht="19.5" customHeight="1" x14ac:dyDescent="0.2">
      <c r="A22" s="6" t="s">
        <v>39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31.5" customHeight="1" x14ac:dyDescent="0.2">
      <c r="A23" s="25" t="s">
        <v>40</v>
      </c>
      <c r="B23" s="25" t="s">
        <v>41</v>
      </c>
      <c r="C23" s="25" t="s">
        <v>42</v>
      </c>
      <c r="D23" s="25" t="s">
        <v>43</v>
      </c>
      <c r="E23" s="25" t="s">
        <v>44</v>
      </c>
      <c r="F23" s="25" t="s">
        <v>45</v>
      </c>
      <c r="G23" s="25" t="s">
        <v>46</v>
      </c>
      <c r="H23" s="25" t="s">
        <v>47</v>
      </c>
      <c r="I23" s="25" t="s">
        <v>48</v>
      </c>
      <c r="J23" s="25" t="s">
        <v>49</v>
      </c>
      <c r="K23" s="25" t="s">
        <v>50</v>
      </c>
      <c r="L23" s="25" t="s">
        <v>24</v>
      </c>
    </row>
    <row r="24" spans="1:12" x14ac:dyDescent="0.2">
      <c r="A24" s="23" t="s">
        <v>51</v>
      </c>
      <c r="B24" s="26" t="s">
        <v>52</v>
      </c>
      <c r="C24" s="27" t="s">
        <v>53</v>
      </c>
      <c r="D24" s="23" t="s">
        <v>54</v>
      </c>
      <c r="E24" s="13">
        <v>0.72</v>
      </c>
      <c r="F24" s="13">
        <v>0.28000000000000003</v>
      </c>
      <c r="G24" s="28">
        <v>850</v>
      </c>
      <c r="H24" s="13">
        <v>0.54</v>
      </c>
      <c r="I24" s="13">
        <v>0.28000000000000003</v>
      </c>
      <c r="J24" s="29">
        <f>MAX(0,E24-I24)</f>
        <v>0.43999999999999995</v>
      </c>
      <c r="K24" s="29">
        <f>MAX(0,(1-H24)-E24)</f>
        <v>0</v>
      </c>
      <c r="L24" s="10" t="s">
        <v>55</v>
      </c>
    </row>
    <row r="25" spans="1:12" x14ac:dyDescent="0.2">
      <c r="A25" s="19" t="s">
        <v>56</v>
      </c>
      <c r="B25" s="30" t="s">
        <v>57</v>
      </c>
      <c r="C25" s="27" t="s">
        <v>53</v>
      </c>
      <c r="D25" s="19" t="s">
        <v>58</v>
      </c>
      <c r="E25" s="13">
        <v>0.57999999999999996</v>
      </c>
      <c r="F25" s="13">
        <v>0.3</v>
      </c>
      <c r="G25" s="28">
        <v>320</v>
      </c>
      <c r="H25" s="13">
        <v>0.48</v>
      </c>
      <c r="I25" s="13">
        <v>0.3</v>
      </c>
      <c r="J25" s="29">
        <f>MAX(0,E25-I25)</f>
        <v>0.27999999999999997</v>
      </c>
      <c r="K25" s="29">
        <f>MAX(0,(1-H25)-E25)</f>
        <v>0</v>
      </c>
      <c r="L25" s="31" t="s">
        <v>59</v>
      </c>
    </row>
    <row r="26" spans="1:12" x14ac:dyDescent="0.2">
      <c r="A26" s="23" t="s">
        <v>60</v>
      </c>
      <c r="B26" s="26" t="s">
        <v>61</v>
      </c>
      <c r="C26" s="27" t="s">
        <v>53</v>
      </c>
      <c r="D26" s="23" t="s">
        <v>62</v>
      </c>
      <c r="E26" s="13">
        <v>0.5</v>
      </c>
      <c r="F26" s="13">
        <v>0.42</v>
      </c>
      <c r="G26" s="28">
        <v>65</v>
      </c>
      <c r="H26" s="13">
        <v>0.4</v>
      </c>
      <c r="I26" s="13">
        <v>0.42</v>
      </c>
      <c r="J26" s="29">
        <f>MAX(0,E26-I26)</f>
        <v>8.0000000000000016E-2</v>
      </c>
      <c r="K26" s="29">
        <f>MAX(0,(1-H26)-E26)</f>
        <v>9.9999999999999978E-2</v>
      </c>
      <c r="L26" s="10" t="s">
        <v>63</v>
      </c>
    </row>
    <row r="27" spans="1:12" x14ac:dyDescent="0.2">
      <c r="A27" s="19" t="s">
        <v>64</v>
      </c>
      <c r="B27" s="30" t="s">
        <v>65</v>
      </c>
      <c r="C27" s="32" t="s">
        <v>66</v>
      </c>
      <c r="D27" s="19" t="s">
        <v>67</v>
      </c>
      <c r="E27" s="13">
        <v>0.38</v>
      </c>
      <c r="F27" s="13">
        <v>0.35</v>
      </c>
      <c r="G27" s="28">
        <v>180</v>
      </c>
      <c r="H27" s="13">
        <v>0.38</v>
      </c>
      <c r="I27" s="13">
        <v>0.35</v>
      </c>
      <c r="J27" s="29">
        <f>MAX(0,E27-I27)</f>
        <v>3.0000000000000027E-2</v>
      </c>
      <c r="K27" s="29">
        <f>MAX(0,(1-H27)-E27)</f>
        <v>0.24</v>
      </c>
      <c r="L27" s="31" t="s">
        <v>68</v>
      </c>
    </row>
    <row r="28" spans="1:12" x14ac:dyDescent="0.2">
      <c r="A28" s="23" t="s">
        <v>69</v>
      </c>
      <c r="B28" s="26" t="s">
        <v>70</v>
      </c>
      <c r="C28" s="32" t="s">
        <v>66</v>
      </c>
      <c r="D28" s="23" t="s">
        <v>71</v>
      </c>
      <c r="E28" s="13">
        <v>0.28000000000000003</v>
      </c>
      <c r="F28" s="13">
        <v>0.22</v>
      </c>
      <c r="G28" s="28">
        <v>210</v>
      </c>
      <c r="H28" s="13">
        <v>0.34</v>
      </c>
      <c r="I28" s="13">
        <v>0.22</v>
      </c>
      <c r="J28" s="29">
        <f>MAX(0,E28-I28)</f>
        <v>6.0000000000000026E-2</v>
      </c>
      <c r="K28" s="29">
        <f>MAX(0,(1-H28)-E28)</f>
        <v>0.37999999999999989</v>
      </c>
      <c r="L28" s="10" t="s">
        <v>72</v>
      </c>
    </row>
  </sheetData>
  <mergeCells count="5">
    <mergeCell ref="A1:L1"/>
    <mergeCell ref="A2:L2"/>
    <mergeCell ref="A4:G4"/>
    <mergeCell ref="A13:G13"/>
    <mergeCell ref="A22:L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68"/>
  <sheetViews>
    <sheetView showGridLines="0" zoomScaleNormal="100" workbookViewId="0">
      <pane xSplit="2" ySplit="8" topLeftCell="C307" activePane="bottomRight" state="frozen"/>
      <selection pane="topRight" activeCell="C1" sqref="C1"/>
      <selection pane="bottomLeft" activeCell="A9" sqref="A9"/>
      <selection pane="bottomRight" activeCell="L16" sqref="L16"/>
    </sheetView>
  </sheetViews>
  <sheetFormatPr baseColWidth="10" defaultColWidth="8.6640625" defaultRowHeight="15" x14ac:dyDescent="0.2"/>
  <cols>
    <col min="1" max="1" width="18" customWidth="1"/>
    <col min="2" max="8" width="12" customWidth="1"/>
  </cols>
  <sheetData>
    <row r="1" spans="1:16" ht="25.5" customHeight="1" x14ac:dyDescent="0.2">
      <c r="A1" s="5" t="s">
        <v>73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15.75" customHeight="1" x14ac:dyDescent="0.2">
      <c r="A2" s="4" t="s">
        <v>74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6" customHeight="1" x14ac:dyDescent="0.2"/>
    <row r="4" spans="1:16" ht="19.5" customHeight="1" x14ac:dyDescent="0.2">
      <c r="A4" s="3" t="s">
        <v>75</v>
      </c>
      <c r="B4" s="3"/>
      <c r="C4" s="3"/>
      <c r="D4" s="3"/>
      <c r="E4" s="3"/>
      <c r="F4" s="3"/>
    </row>
    <row r="5" spans="1:16" x14ac:dyDescent="0.2">
      <c r="A5" s="33" t="s">
        <v>76</v>
      </c>
      <c r="B5" s="34">
        <v>980</v>
      </c>
      <c r="C5" s="35" t="s">
        <v>77</v>
      </c>
    </row>
    <row r="6" spans="1:16" x14ac:dyDescent="0.2">
      <c r="A6" s="33" t="s">
        <v>78</v>
      </c>
      <c r="B6" s="34">
        <v>121</v>
      </c>
      <c r="C6" s="35" t="s">
        <v>79</v>
      </c>
    </row>
    <row r="7" spans="1:16" x14ac:dyDescent="0.2">
      <c r="A7" s="33" t="s">
        <v>80</v>
      </c>
      <c r="B7" s="36">
        <v>0.3</v>
      </c>
      <c r="C7" s="35" t="s">
        <v>81</v>
      </c>
    </row>
    <row r="8" spans="1:16" ht="7.5" customHeight="1" x14ac:dyDescent="0.2"/>
    <row r="9" spans="1:16" ht="21.75" customHeight="1" x14ac:dyDescent="0.2">
      <c r="A9" s="6" t="s">
        <v>82</v>
      </c>
      <c r="B9" s="6"/>
      <c r="C9" s="6"/>
      <c r="D9" s="6"/>
      <c r="E9" s="6"/>
      <c r="F9" s="6"/>
      <c r="G9" s="6"/>
      <c r="H9" s="6"/>
      <c r="I9" s="6"/>
    </row>
    <row r="10" spans="1:16" ht="18" customHeight="1" x14ac:dyDescent="0.2">
      <c r="A10" s="2" t="s">
        <v>83</v>
      </c>
      <c r="B10" s="2"/>
      <c r="C10" s="2"/>
      <c r="D10" s="2"/>
      <c r="E10" s="2"/>
      <c r="F10" s="2"/>
      <c r="G10" s="2"/>
      <c r="H10" s="2"/>
      <c r="I10" s="2"/>
    </row>
    <row r="11" spans="1:16" ht="18" customHeight="1" x14ac:dyDescent="0.2">
      <c r="A11" s="25" t="s">
        <v>84</v>
      </c>
      <c r="B11" s="11" t="s">
        <v>85</v>
      </c>
      <c r="C11" s="11" t="s">
        <v>86</v>
      </c>
      <c r="D11" s="11" t="s">
        <v>87</v>
      </c>
      <c r="E11" s="11" t="s">
        <v>88</v>
      </c>
      <c r="F11" s="11" t="s">
        <v>89</v>
      </c>
      <c r="G11" s="11" t="s">
        <v>90</v>
      </c>
      <c r="H11" s="11" t="s">
        <v>91</v>
      </c>
    </row>
    <row r="12" spans="1:16" ht="15.75" customHeight="1" x14ac:dyDescent="0.2">
      <c r="A12" s="19" t="s">
        <v>92</v>
      </c>
      <c r="B12" s="37">
        <v>0.59599999999999997</v>
      </c>
      <c r="C12" s="37">
        <v>0.56279999999999997</v>
      </c>
      <c r="D12" s="37">
        <v>0.52959999999999996</v>
      </c>
      <c r="E12" s="38">
        <v>0.49640000000000001</v>
      </c>
      <c r="F12" s="38">
        <v>0.4632</v>
      </c>
      <c r="G12" s="38">
        <v>0.43</v>
      </c>
      <c r="H12" s="38">
        <v>0.39679999999999999</v>
      </c>
    </row>
    <row r="13" spans="1:16" ht="15.75" customHeight="1" x14ac:dyDescent="0.2">
      <c r="A13" s="19" t="s">
        <v>93</v>
      </c>
      <c r="B13" s="37">
        <v>0.56799999999999995</v>
      </c>
      <c r="C13" s="37">
        <v>0.53339999999999999</v>
      </c>
      <c r="D13" s="38">
        <v>0.49880000000000002</v>
      </c>
      <c r="E13" s="38">
        <v>0.4642</v>
      </c>
      <c r="F13" s="38">
        <v>0.42959999999999998</v>
      </c>
      <c r="G13" s="38">
        <v>0.39500000000000002</v>
      </c>
      <c r="H13" s="38">
        <v>0.3604</v>
      </c>
    </row>
    <row r="14" spans="1:16" ht="15.75" customHeight="1" x14ac:dyDescent="0.2">
      <c r="A14" s="39" t="s">
        <v>94</v>
      </c>
      <c r="B14" s="37">
        <v>0.54</v>
      </c>
      <c r="C14" s="38">
        <v>0.504</v>
      </c>
      <c r="D14" s="38">
        <v>0.46800000000000003</v>
      </c>
      <c r="E14" s="38">
        <v>0.432</v>
      </c>
      <c r="F14" s="38">
        <v>0.39600000000000002</v>
      </c>
      <c r="G14" s="38">
        <v>0.36</v>
      </c>
      <c r="H14" s="38">
        <v>0.32400000000000001</v>
      </c>
    </row>
    <row r="15" spans="1:16" ht="15.75" customHeight="1" x14ac:dyDescent="0.2">
      <c r="A15" s="19" t="s">
        <v>95</v>
      </c>
      <c r="B15" s="38">
        <v>0.51200000000000001</v>
      </c>
      <c r="C15" s="38">
        <v>0.47460000000000002</v>
      </c>
      <c r="D15" s="38">
        <v>0.43719999999999998</v>
      </c>
      <c r="E15" s="38">
        <v>0.39979999999999999</v>
      </c>
      <c r="F15" s="38">
        <v>0.3624</v>
      </c>
      <c r="G15" s="38">
        <v>0.32500000000000001</v>
      </c>
      <c r="H15" s="40">
        <v>0.28760000000000002</v>
      </c>
    </row>
    <row r="16" spans="1:16" ht="15.75" customHeight="1" x14ac:dyDescent="0.2">
      <c r="A16" s="19" t="s">
        <v>96</v>
      </c>
      <c r="B16" s="38">
        <v>0.48399999999999999</v>
      </c>
      <c r="C16" s="38">
        <v>0.44519999999999998</v>
      </c>
      <c r="D16" s="38">
        <v>0.40639999999999998</v>
      </c>
      <c r="E16" s="38">
        <v>0.36759999999999998</v>
      </c>
      <c r="F16" s="38">
        <v>0.32879999999999998</v>
      </c>
      <c r="G16" s="40">
        <v>0.28999999999999998</v>
      </c>
      <c r="H16" s="40">
        <v>0.25119999999999998</v>
      </c>
    </row>
    <row r="17" spans="1:9" ht="15.75" customHeight="1" x14ac:dyDescent="0.2">
      <c r="A17" s="19" t="s">
        <v>97</v>
      </c>
      <c r="B17" s="38">
        <v>0.45600000000000002</v>
      </c>
      <c r="C17" s="38">
        <v>0.4158</v>
      </c>
      <c r="D17" s="38">
        <v>0.37559999999999999</v>
      </c>
      <c r="E17" s="38">
        <v>0.33539999999999998</v>
      </c>
      <c r="F17" s="40">
        <v>0.29520000000000002</v>
      </c>
      <c r="G17" s="40">
        <v>0.255</v>
      </c>
      <c r="H17" s="40">
        <v>0.21479999999999999</v>
      </c>
    </row>
    <row r="18" spans="1:9" ht="15.75" customHeight="1" x14ac:dyDescent="0.2">
      <c r="A18" s="19" t="s">
        <v>98</v>
      </c>
      <c r="B18" s="38">
        <v>0.42799999999999999</v>
      </c>
      <c r="C18" s="38">
        <v>0.38640000000000002</v>
      </c>
      <c r="D18" s="38">
        <v>0.3448</v>
      </c>
      <c r="E18" s="38">
        <v>0.30320000000000003</v>
      </c>
      <c r="F18" s="40">
        <v>0.2616</v>
      </c>
      <c r="G18" s="40">
        <v>0.22</v>
      </c>
      <c r="H18" s="41">
        <v>0.1784</v>
      </c>
    </row>
    <row r="19" spans="1:9" ht="15.75" customHeight="1" x14ac:dyDescent="0.2">
      <c r="A19" s="19" t="s">
        <v>99</v>
      </c>
      <c r="B19" s="38">
        <v>0.4</v>
      </c>
      <c r="C19" s="38">
        <v>0.35699999999999998</v>
      </c>
      <c r="D19" s="38">
        <v>0.314</v>
      </c>
      <c r="E19" s="40">
        <v>0.27100000000000002</v>
      </c>
      <c r="F19" s="40">
        <v>0.22800000000000001</v>
      </c>
      <c r="G19" s="41">
        <v>0.185</v>
      </c>
      <c r="H19" s="41">
        <v>0.14199999999999999</v>
      </c>
    </row>
    <row r="21" spans="1:9" ht="15.75" customHeight="1" x14ac:dyDescent="0.2">
      <c r="A21" s="1" t="s">
        <v>100</v>
      </c>
      <c r="B21" s="1"/>
      <c r="C21" s="1"/>
      <c r="D21" s="1"/>
      <c r="E21" s="1"/>
      <c r="F21" s="1"/>
      <c r="G21" s="1"/>
      <c r="H21" s="1"/>
      <c r="I21" s="1"/>
    </row>
    <row r="22" spans="1:9" ht="15.75" customHeight="1" x14ac:dyDescent="0.2">
      <c r="A22" s="11" t="s">
        <v>84</v>
      </c>
      <c r="B22" s="11" t="s">
        <v>85</v>
      </c>
      <c r="C22" s="11" t="s">
        <v>86</v>
      </c>
      <c r="D22" s="11" t="s">
        <v>87</v>
      </c>
      <c r="E22" s="11" t="s">
        <v>88</v>
      </c>
      <c r="F22" s="11" t="s">
        <v>89</v>
      </c>
      <c r="G22" s="11" t="s">
        <v>90</v>
      </c>
      <c r="H22" s="11" t="s">
        <v>91</v>
      </c>
    </row>
    <row r="23" spans="1:9" ht="15.75" customHeight="1" x14ac:dyDescent="0.2">
      <c r="A23" s="19" t="s">
        <v>92</v>
      </c>
      <c r="B23" s="37">
        <v>-0.1037</v>
      </c>
      <c r="C23" s="37">
        <v>-4.2200000000000001E-2</v>
      </c>
      <c r="D23" s="37">
        <v>1.9300000000000001E-2</v>
      </c>
      <c r="E23" s="42">
        <v>8.0699999999999994E-2</v>
      </c>
      <c r="F23" s="42">
        <v>0.14219999999999999</v>
      </c>
      <c r="G23" s="41">
        <v>0.20369999999999999</v>
      </c>
      <c r="H23" s="41">
        <v>0.26519999999999999</v>
      </c>
    </row>
    <row r="24" spans="1:9" ht="15.75" customHeight="1" x14ac:dyDescent="0.2">
      <c r="A24" s="19" t="s">
        <v>93</v>
      </c>
      <c r="B24" s="37">
        <v>-5.1900000000000002E-2</v>
      </c>
      <c r="C24" s="37">
        <v>1.2200000000000001E-2</v>
      </c>
      <c r="D24" s="42">
        <v>7.6300000000000007E-2</v>
      </c>
      <c r="E24" s="42">
        <v>0.1404</v>
      </c>
      <c r="F24" s="41">
        <v>0.2044</v>
      </c>
      <c r="G24" s="41">
        <v>0.26850000000000002</v>
      </c>
      <c r="H24" s="41">
        <v>0.33260000000000001</v>
      </c>
    </row>
    <row r="25" spans="1:9" ht="15.75" customHeight="1" x14ac:dyDescent="0.2">
      <c r="A25" s="23" t="s">
        <v>94</v>
      </c>
      <c r="B25" s="37">
        <v>0</v>
      </c>
      <c r="C25" s="42">
        <v>6.6699999999999995E-2</v>
      </c>
      <c r="D25" s="42">
        <v>0.1333</v>
      </c>
      <c r="E25" s="41">
        <v>0.2</v>
      </c>
      <c r="F25" s="41">
        <v>0.26669999999999999</v>
      </c>
      <c r="G25" s="41">
        <v>0.33329999999999999</v>
      </c>
      <c r="H25" s="41">
        <v>0.4</v>
      </c>
    </row>
    <row r="26" spans="1:9" ht="15.75" customHeight="1" x14ac:dyDescent="0.2">
      <c r="A26" s="19" t="s">
        <v>95</v>
      </c>
      <c r="B26" s="42">
        <v>5.1900000000000002E-2</v>
      </c>
      <c r="C26" s="42">
        <v>0.1211</v>
      </c>
      <c r="D26" s="41">
        <v>0.19040000000000001</v>
      </c>
      <c r="E26" s="41">
        <v>0.2596</v>
      </c>
      <c r="F26" s="41">
        <v>0.32890000000000003</v>
      </c>
      <c r="G26" s="41">
        <v>0.39810000000000001</v>
      </c>
      <c r="H26" s="41">
        <v>0.46739999999999998</v>
      </c>
    </row>
    <row r="27" spans="1:9" ht="15.75" customHeight="1" x14ac:dyDescent="0.2">
      <c r="A27" s="19" t="s">
        <v>96</v>
      </c>
      <c r="B27" s="42">
        <v>0.1037</v>
      </c>
      <c r="C27" s="41">
        <v>0.17560000000000001</v>
      </c>
      <c r="D27" s="41">
        <v>0.24740000000000001</v>
      </c>
      <c r="E27" s="41">
        <v>0.31929999999999997</v>
      </c>
      <c r="F27" s="41">
        <v>0.3911</v>
      </c>
      <c r="G27" s="41">
        <v>0.46300000000000002</v>
      </c>
      <c r="H27" s="41">
        <v>0.53480000000000005</v>
      </c>
    </row>
    <row r="28" spans="1:9" ht="15.75" customHeight="1" x14ac:dyDescent="0.2">
      <c r="A28" s="19" t="s">
        <v>97</v>
      </c>
      <c r="B28" s="41">
        <v>0.15559999999999999</v>
      </c>
      <c r="C28" s="41">
        <v>0.23</v>
      </c>
      <c r="D28" s="41">
        <v>0.3044</v>
      </c>
      <c r="E28" s="41">
        <v>0.37890000000000001</v>
      </c>
      <c r="F28" s="41">
        <v>0.45329999999999998</v>
      </c>
      <c r="G28" s="41">
        <v>0.52780000000000005</v>
      </c>
      <c r="H28" s="41">
        <v>0.60219999999999996</v>
      </c>
    </row>
    <row r="29" spans="1:9" ht="15.75" customHeight="1" x14ac:dyDescent="0.2">
      <c r="A29" s="19" t="s">
        <v>98</v>
      </c>
      <c r="B29" s="41">
        <v>0.2074</v>
      </c>
      <c r="C29" s="41">
        <v>0.28439999999999999</v>
      </c>
      <c r="D29" s="41">
        <v>0.36149999999999999</v>
      </c>
      <c r="E29" s="41">
        <v>0.4385</v>
      </c>
      <c r="F29" s="41">
        <v>0.51559999999999995</v>
      </c>
      <c r="G29" s="41">
        <v>0.59260000000000002</v>
      </c>
      <c r="H29" s="41">
        <v>0.66959999999999997</v>
      </c>
    </row>
    <row r="30" spans="1:9" ht="15.75" customHeight="1" x14ac:dyDescent="0.2">
      <c r="A30" s="19" t="s">
        <v>99</v>
      </c>
      <c r="B30" s="41">
        <v>0.25929999999999997</v>
      </c>
      <c r="C30" s="41">
        <v>0.33889999999999998</v>
      </c>
      <c r="D30" s="41">
        <v>0.41849999999999998</v>
      </c>
      <c r="E30" s="41">
        <v>0.49809999999999999</v>
      </c>
      <c r="F30" s="41">
        <v>0.57779999999999998</v>
      </c>
      <c r="G30" s="41">
        <v>0.65739999999999998</v>
      </c>
      <c r="H30" s="41">
        <v>0.73699999999999999</v>
      </c>
    </row>
    <row r="33" spans="1:9" ht="18" customHeight="1" x14ac:dyDescent="0.2">
      <c r="A33" s="2" t="s">
        <v>101</v>
      </c>
      <c r="B33" s="2"/>
      <c r="C33" s="2"/>
      <c r="D33" s="2"/>
      <c r="E33" s="2"/>
      <c r="F33" s="2"/>
      <c r="G33" s="2"/>
      <c r="H33" s="2"/>
      <c r="I33" s="2"/>
    </row>
    <row r="34" spans="1:9" ht="18" customHeight="1" x14ac:dyDescent="0.2">
      <c r="A34" s="25" t="s">
        <v>84</v>
      </c>
      <c r="B34" s="11" t="s">
        <v>85</v>
      </c>
      <c r="C34" s="11" t="s">
        <v>86</v>
      </c>
      <c r="D34" s="11" t="s">
        <v>87</v>
      </c>
      <c r="E34" s="11" t="s">
        <v>88</v>
      </c>
      <c r="F34" s="11" t="s">
        <v>89</v>
      </c>
      <c r="G34" s="11" t="s">
        <v>90</v>
      </c>
      <c r="H34" s="11" t="s">
        <v>91</v>
      </c>
    </row>
    <row r="35" spans="1:9" ht="15.75" customHeight="1" x14ac:dyDescent="0.2">
      <c r="A35" s="19" t="s">
        <v>92</v>
      </c>
      <c r="B35" s="37">
        <v>0.56799999999999995</v>
      </c>
      <c r="C35" s="37">
        <v>0.5514</v>
      </c>
      <c r="D35" s="37">
        <v>0.53480000000000005</v>
      </c>
      <c r="E35" s="37">
        <v>0.51819999999999999</v>
      </c>
      <c r="F35" s="38">
        <v>0.50160000000000005</v>
      </c>
      <c r="G35" s="38">
        <v>0.48499999999999999</v>
      </c>
      <c r="H35" s="38">
        <v>0.46839999999999998</v>
      </c>
    </row>
    <row r="36" spans="1:9" ht="15.75" customHeight="1" x14ac:dyDescent="0.2">
      <c r="A36" s="19" t="s">
        <v>93</v>
      </c>
      <c r="B36" s="37">
        <v>0.55400000000000005</v>
      </c>
      <c r="C36" s="37">
        <v>0.53669999999999995</v>
      </c>
      <c r="D36" s="37">
        <v>0.51939999999999997</v>
      </c>
      <c r="E36" s="38">
        <v>0.50209999999999999</v>
      </c>
      <c r="F36" s="38">
        <v>0.48480000000000001</v>
      </c>
      <c r="G36" s="38">
        <v>0.46750000000000003</v>
      </c>
      <c r="H36" s="38">
        <v>0.45019999999999999</v>
      </c>
    </row>
    <row r="37" spans="1:9" ht="15.75" customHeight="1" x14ac:dyDescent="0.2">
      <c r="A37" s="39" t="s">
        <v>94</v>
      </c>
      <c r="B37" s="37">
        <v>0.54</v>
      </c>
      <c r="C37" s="37">
        <v>0.52200000000000002</v>
      </c>
      <c r="D37" s="38">
        <v>0.504</v>
      </c>
      <c r="E37" s="38">
        <v>0.48599999999999999</v>
      </c>
      <c r="F37" s="38">
        <v>0.46800000000000003</v>
      </c>
      <c r="G37" s="38">
        <v>0.45</v>
      </c>
      <c r="H37" s="38">
        <v>0.432</v>
      </c>
    </row>
    <row r="38" spans="1:9" ht="15.75" customHeight="1" x14ac:dyDescent="0.2">
      <c r="A38" s="19" t="s">
        <v>95</v>
      </c>
      <c r="B38" s="37">
        <v>0.52600000000000002</v>
      </c>
      <c r="C38" s="38">
        <v>0.50729999999999997</v>
      </c>
      <c r="D38" s="38">
        <v>0.48859999999999998</v>
      </c>
      <c r="E38" s="38">
        <v>0.46989999999999998</v>
      </c>
      <c r="F38" s="38">
        <v>0.45119999999999999</v>
      </c>
      <c r="G38" s="38">
        <v>0.4325</v>
      </c>
      <c r="H38" s="38">
        <v>0.4138</v>
      </c>
    </row>
    <row r="39" spans="1:9" ht="15.75" customHeight="1" x14ac:dyDescent="0.2">
      <c r="A39" s="19" t="s">
        <v>96</v>
      </c>
      <c r="B39" s="38">
        <v>0.51200000000000001</v>
      </c>
      <c r="C39" s="38">
        <v>0.49259999999999998</v>
      </c>
      <c r="D39" s="38">
        <v>0.47320000000000001</v>
      </c>
      <c r="E39" s="38">
        <v>0.45379999999999998</v>
      </c>
      <c r="F39" s="38">
        <v>0.43440000000000001</v>
      </c>
      <c r="G39" s="38">
        <v>0.41499999999999998</v>
      </c>
      <c r="H39" s="38">
        <v>0.39560000000000001</v>
      </c>
    </row>
    <row r="40" spans="1:9" ht="15.75" customHeight="1" x14ac:dyDescent="0.2">
      <c r="A40" s="19" t="s">
        <v>97</v>
      </c>
      <c r="B40" s="38">
        <v>0.498</v>
      </c>
      <c r="C40" s="38">
        <v>0.47789999999999999</v>
      </c>
      <c r="D40" s="38">
        <v>0.45779999999999998</v>
      </c>
      <c r="E40" s="38">
        <v>0.43769999999999998</v>
      </c>
      <c r="F40" s="38">
        <v>0.41760000000000003</v>
      </c>
      <c r="G40" s="38">
        <v>0.39750000000000002</v>
      </c>
      <c r="H40" s="38">
        <v>0.37740000000000001</v>
      </c>
    </row>
    <row r="41" spans="1:9" ht="15.75" customHeight="1" x14ac:dyDescent="0.2">
      <c r="A41" s="19" t="s">
        <v>98</v>
      </c>
      <c r="B41" s="38">
        <v>0.48399999999999999</v>
      </c>
      <c r="C41" s="38">
        <v>0.4632</v>
      </c>
      <c r="D41" s="38">
        <v>0.44240000000000002</v>
      </c>
      <c r="E41" s="38">
        <v>0.42159999999999997</v>
      </c>
      <c r="F41" s="38">
        <v>0.40079999999999999</v>
      </c>
      <c r="G41" s="38">
        <v>0.38</v>
      </c>
      <c r="H41" s="38">
        <v>0.35920000000000002</v>
      </c>
    </row>
    <row r="42" spans="1:9" ht="15.75" customHeight="1" x14ac:dyDescent="0.2">
      <c r="A42" s="19" t="s">
        <v>99</v>
      </c>
      <c r="B42" s="38">
        <v>0.47</v>
      </c>
      <c r="C42" s="38">
        <v>0.44850000000000001</v>
      </c>
      <c r="D42" s="38">
        <v>0.42699999999999999</v>
      </c>
      <c r="E42" s="38">
        <v>0.40550000000000003</v>
      </c>
      <c r="F42" s="38">
        <v>0.38400000000000001</v>
      </c>
      <c r="G42" s="38">
        <v>0.36249999999999999</v>
      </c>
      <c r="H42" s="38">
        <v>0.34100000000000003</v>
      </c>
    </row>
    <row r="44" spans="1:9" ht="15.75" customHeight="1" x14ac:dyDescent="0.2">
      <c r="A44" s="1" t="s">
        <v>102</v>
      </c>
      <c r="B44" s="1"/>
      <c r="C44" s="1"/>
      <c r="D44" s="1"/>
      <c r="E44" s="1"/>
      <c r="F44" s="1"/>
      <c r="G44" s="1"/>
      <c r="H44" s="1"/>
      <c r="I44" s="1"/>
    </row>
    <row r="45" spans="1:9" ht="15.75" customHeight="1" x14ac:dyDescent="0.2">
      <c r="A45" s="11" t="s">
        <v>84</v>
      </c>
      <c r="B45" s="11" t="s">
        <v>85</v>
      </c>
      <c r="C45" s="11" t="s">
        <v>86</v>
      </c>
      <c r="D45" s="11" t="s">
        <v>87</v>
      </c>
      <c r="E45" s="11" t="s">
        <v>88</v>
      </c>
      <c r="F45" s="11" t="s">
        <v>89</v>
      </c>
      <c r="G45" s="11" t="s">
        <v>90</v>
      </c>
      <c r="H45" s="11" t="s">
        <v>91</v>
      </c>
    </row>
    <row r="46" spans="1:9" ht="15.75" customHeight="1" x14ac:dyDescent="0.2">
      <c r="A46" s="19" t="s">
        <v>92</v>
      </c>
      <c r="B46" s="37">
        <v>-0.1037</v>
      </c>
      <c r="C46" s="37">
        <v>-4.2200000000000001E-2</v>
      </c>
      <c r="D46" s="37">
        <v>1.9300000000000001E-2</v>
      </c>
      <c r="E46" s="42">
        <v>8.0699999999999994E-2</v>
      </c>
      <c r="F46" s="42">
        <v>0.14219999999999999</v>
      </c>
      <c r="G46" s="41">
        <v>0.20369999999999999</v>
      </c>
      <c r="H46" s="41">
        <v>0.26519999999999999</v>
      </c>
    </row>
    <row r="47" spans="1:9" ht="15.75" customHeight="1" x14ac:dyDescent="0.2">
      <c r="A47" s="19" t="s">
        <v>93</v>
      </c>
      <c r="B47" s="37">
        <v>-5.1900000000000002E-2</v>
      </c>
      <c r="C47" s="37">
        <v>1.2200000000000001E-2</v>
      </c>
      <c r="D47" s="42">
        <v>7.6300000000000007E-2</v>
      </c>
      <c r="E47" s="42">
        <v>0.1404</v>
      </c>
      <c r="F47" s="41">
        <v>0.2044</v>
      </c>
      <c r="G47" s="41">
        <v>0.26850000000000002</v>
      </c>
      <c r="H47" s="41">
        <v>0.33260000000000001</v>
      </c>
    </row>
    <row r="48" spans="1:9" ht="15.75" customHeight="1" x14ac:dyDescent="0.2">
      <c r="A48" s="23" t="s">
        <v>94</v>
      </c>
      <c r="B48" s="37">
        <v>0</v>
      </c>
      <c r="C48" s="42">
        <v>6.6699999999999995E-2</v>
      </c>
      <c r="D48" s="42">
        <v>0.1333</v>
      </c>
      <c r="E48" s="41">
        <v>0.2</v>
      </c>
      <c r="F48" s="41">
        <v>0.26669999999999999</v>
      </c>
      <c r="G48" s="41">
        <v>0.33329999999999999</v>
      </c>
      <c r="H48" s="41">
        <v>0.4</v>
      </c>
    </row>
    <row r="49" spans="1:9" ht="15.75" customHeight="1" x14ac:dyDescent="0.2">
      <c r="A49" s="19" t="s">
        <v>95</v>
      </c>
      <c r="B49" s="42">
        <v>5.1900000000000002E-2</v>
      </c>
      <c r="C49" s="42">
        <v>0.1211</v>
      </c>
      <c r="D49" s="41">
        <v>0.19040000000000001</v>
      </c>
      <c r="E49" s="41">
        <v>0.2596</v>
      </c>
      <c r="F49" s="41">
        <v>0.32890000000000003</v>
      </c>
      <c r="G49" s="41">
        <v>0.39810000000000001</v>
      </c>
      <c r="H49" s="41">
        <v>0.46739999999999998</v>
      </c>
    </row>
    <row r="50" spans="1:9" ht="15.75" customHeight="1" x14ac:dyDescent="0.2">
      <c r="A50" s="19" t="s">
        <v>96</v>
      </c>
      <c r="B50" s="42">
        <v>0.1037</v>
      </c>
      <c r="C50" s="41">
        <v>0.17560000000000001</v>
      </c>
      <c r="D50" s="41">
        <v>0.24740000000000001</v>
      </c>
      <c r="E50" s="41">
        <v>0.31929999999999997</v>
      </c>
      <c r="F50" s="41">
        <v>0.3911</v>
      </c>
      <c r="G50" s="41">
        <v>0.46300000000000002</v>
      </c>
      <c r="H50" s="41">
        <v>0.53480000000000005</v>
      </c>
    </row>
    <row r="51" spans="1:9" ht="15.75" customHeight="1" x14ac:dyDescent="0.2">
      <c r="A51" s="19" t="s">
        <v>97</v>
      </c>
      <c r="B51" s="41">
        <v>0.15559999999999999</v>
      </c>
      <c r="C51" s="41">
        <v>0.23</v>
      </c>
      <c r="D51" s="41">
        <v>0.3044</v>
      </c>
      <c r="E51" s="41">
        <v>0.37890000000000001</v>
      </c>
      <c r="F51" s="41">
        <v>0.45329999999999998</v>
      </c>
      <c r="G51" s="41">
        <v>0.52780000000000005</v>
      </c>
      <c r="H51" s="41">
        <v>0.60219999999999996</v>
      </c>
    </row>
    <row r="52" spans="1:9" ht="15.75" customHeight="1" x14ac:dyDescent="0.2">
      <c r="A52" s="19" t="s">
        <v>98</v>
      </c>
      <c r="B52" s="41">
        <v>0.2074</v>
      </c>
      <c r="C52" s="41">
        <v>0.28439999999999999</v>
      </c>
      <c r="D52" s="41">
        <v>0.36149999999999999</v>
      </c>
      <c r="E52" s="41">
        <v>0.4385</v>
      </c>
      <c r="F52" s="41">
        <v>0.51559999999999995</v>
      </c>
      <c r="G52" s="41">
        <v>0.59260000000000002</v>
      </c>
      <c r="H52" s="41">
        <v>0.66959999999999997</v>
      </c>
    </row>
    <row r="53" spans="1:9" ht="15.75" customHeight="1" x14ac:dyDescent="0.2">
      <c r="A53" s="19" t="s">
        <v>99</v>
      </c>
      <c r="B53" s="41">
        <v>0.25929999999999997</v>
      </c>
      <c r="C53" s="41">
        <v>0.33889999999999998</v>
      </c>
      <c r="D53" s="41">
        <v>0.41849999999999998</v>
      </c>
      <c r="E53" s="41">
        <v>0.49809999999999999</v>
      </c>
      <c r="F53" s="41">
        <v>0.57779999999999998</v>
      </c>
      <c r="G53" s="41">
        <v>0.65739999999999998</v>
      </c>
      <c r="H53" s="41">
        <v>0.73699999999999999</v>
      </c>
    </row>
    <row r="56" spans="1:9" ht="18" customHeight="1" x14ac:dyDescent="0.2">
      <c r="A56" s="2" t="s">
        <v>103</v>
      </c>
      <c r="B56" s="2"/>
      <c r="C56" s="2"/>
      <c r="D56" s="2"/>
      <c r="E56" s="2"/>
      <c r="F56" s="2"/>
      <c r="G56" s="2"/>
      <c r="H56" s="2"/>
      <c r="I56" s="2"/>
    </row>
    <row r="57" spans="1:9" ht="18" customHeight="1" x14ac:dyDescent="0.2">
      <c r="A57" s="25" t="s">
        <v>84</v>
      </c>
      <c r="B57" s="11" t="s">
        <v>85</v>
      </c>
      <c r="C57" s="11" t="s">
        <v>86</v>
      </c>
      <c r="D57" s="11" t="s">
        <v>87</v>
      </c>
      <c r="E57" s="11" t="s">
        <v>88</v>
      </c>
      <c r="F57" s="11" t="s">
        <v>89</v>
      </c>
      <c r="G57" s="11" t="s">
        <v>90</v>
      </c>
      <c r="H57" s="11" t="s">
        <v>91</v>
      </c>
    </row>
    <row r="58" spans="1:9" ht="15.75" customHeight="1" x14ac:dyDescent="0.2">
      <c r="A58" s="19" t="s">
        <v>92</v>
      </c>
      <c r="B58" s="37">
        <v>0.54</v>
      </c>
      <c r="C58" s="37">
        <v>0.54</v>
      </c>
      <c r="D58" s="37">
        <v>0.54</v>
      </c>
      <c r="E58" s="37">
        <v>0.54</v>
      </c>
      <c r="F58" s="37">
        <v>0.54</v>
      </c>
      <c r="G58" s="37">
        <v>0.54</v>
      </c>
      <c r="H58" s="37">
        <v>0.54</v>
      </c>
    </row>
    <row r="59" spans="1:9" ht="15.75" customHeight="1" x14ac:dyDescent="0.2">
      <c r="A59" s="19" t="s">
        <v>93</v>
      </c>
      <c r="B59" s="37">
        <v>0.54</v>
      </c>
      <c r="C59" s="37">
        <v>0.54</v>
      </c>
      <c r="D59" s="37">
        <v>0.54</v>
      </c>
      <c r="E59" s="37">
        <v>0.54</v>
      </c>
      <c r="F59" s="37">
        <v>0.54</v>
      </c>
      <c r="G59" s="37">
        <v>0.54</v>
      </c>
      <c r="H59" s="37">
        <v>0.54</v>
      </c>
    </row>
    <row r="60" spans="1:9" ht="15.75" customHeight="1" x14ac:dyDescent="0.2">
      <c r="A60" s="39" t="s">
        <v>94</v>
      </c>
      <c r="B60" s="37">
        <v>0.54</v>
      </c>
      <c r="C60" s="37">
        <v>0.54</v>
      </c>
      <c r="D60" s="37">
        <v>0.54</v>
      </c>
      <c r="E60" s="37">
        <v>0.54</v>
      </c>
      <c r="F60" s="37">
        <v>0.54</v>
      </c>
      <c r="G60" s="37">
        <v>0.54</v>
      </c>
      <c r="H60" s="37">
        <v>0.54</v>
      </c>
    </row>
    <row r="61" spans="1:9" ht="15.75" customHeight="1" x14ac:dyDescent="0.2">
      <c r="A61" s="19" t="s">
        <v>95</v>
      </c>
      <c r="B61" s="37">
        <v>0.54</v>
      </c>
      <c r="C61" s="37">
        <v>0.54</v>
      </c>
      <c r="D61" s="37">
        <v>0.54</v>
      </c>
      <c r="E61" s="37">
        <v>0.54</v>
      </c>
      <c r="F61" s="37">
        <v>0.54</v>
      </c>
      <c r="G61" s="37">
        <v>0.54</v>
      </c>
      <c r="H61" s="37">
        <v>0.54</v>
      </c>
    </row>
    <row r="62" spans="1:9" ht="15.75" customHeight="1" x14ac:dyDescent="0.2">
      <c r="A62" s="19" t="s">
        <v>96</v>
      </c>
      <c r="B62" s="37">
        <v>0.54</v>
      </c>
      <c r="C62" s="37">
        <v>0.54</v>
      </c>
      <c r="D62" s="37">
        <v>0.54</v>
      </c>
      <c r="E62" s="37">
        <v>0.54</v>
      </c>
      <c r="F62" s="37">
        <v>0.54</v>
      </c>
      <c r="G62" s="37">
        <v>0.54</v>
      </c>
      <c r="H62" s="37">
        <v>0.54</v>
      </c>
    </row>
    <row r="63" spans="1:9" ht="15.75" customHeight="1" x14ac:dyDescent="0.2">
      <c r="A63" s="19" t="s">
        <v>97</v>
      </c>
      <c r="B63" s="37">
        <v>0.54</v>
      </c>
      <c r="C63" s="37">
        <v>0.54</v>
      </c>
      <c r="D63" s="37">
        <v>0.54</v>
      </c>
      <c r="E63" s="37">
        <v>0.54</v>
      </c>
      <c r="F63" s="37">
        <v>0.54</v>
      </c>
      <c r="G63" s="37">
        <v>0.54</v>
      </c>
      <c r="H63" s="37">
        <v>0.54</v>
      </c>
    </row>
    <row r="64" spans="1:9" ht="15.75" customHeight="1" x14ac:dyDescent="0.2">
      <c r="A64" s="19" t="s">
        <v>98</v>
      </c>
      <c r="B64" s="37">
        <v>0.54</v>
      </c>
      <c r="C64" s="37">
        <v>0.54</v>
      </c>
      <c r="D64" s="37">
        <v>0.54</v>
      </c>
      <c r="E64" s="37">
        <v>0.54</v>
      </c>
      <c r="F64" s="37">
        <v>0.54</v>
      </c>
      <c r="G64" s="37">
        <v>0.54</v>
      </c>
      <c r="H64" s="37">
        <v>0.54</v>
      </c>
    </row>
    <row r="65" spans="1:9" ht="15.75" customHeight="1" x14ac:dyDescent="0.2">
      <c r="A65" s="19" t="s">
        <v>99</v>
      </c>
      <c r="B65" s="37">
        <v>0.54</v>
      </c>
      <c r="C65" s="37">
        <v>0.54</v>
      </c>
      <c r="D65" s="37">
        <v>0.54</v>
      </c>
      <c r="E65" s="37">
        <v>0.54</v>
      </c>
      <c r="F65" s="37">
        <v>0.54</v>
      </c>
      <c r="G65" s="37">
        <v>0.54</v>
      </c>
      <c r="H65" s="37">
        <v>0.54</v>
      </c>
    </row>
    <row r="67" spans="1:9" ht="15.75" customHeight="1" x14ac:dyDescent="0.2">
      <c r="A67" s="1" t="s">
        <v>104</v>
      </c>
      <c r="B67" s="1"/>
      <c r="C67" s="1"/>
      <c r="D67" s="1"/>
      <c r="E67" s="1"/>
      <c r="F67" s="1"/>
      <c r="G67" s="1"/>
      <c r="H67" s="1"/>
      <c r="I67" s="1"/>
    </row>
    <row r="68" spans="1:9" ht="15.75" customHeight="1" x14ac:dyDescent="0.2">
      <c r="A68" s="11" t="s">
        <v>84</v>
      </c>
      <c r="B68" s="11" t="s">
        <v>85</v>
      </c>
      <c r="C68" s="11" t="s">
        <v>86</v>
      </c>
      <c r="D68" s="11" t="s">
        <v>87</v>
      </c>
      <c r="E68" s="11" t="s">
        <v>88</v>
      </c>
      <c r="F68" s="11" t="s">
        <v>89</v>
      </c>
      <c r="G68" s="11" t="s">
        <v>90</v>
      </c>
      <c r="H68" s="11" t="s">
        <v>91</v>
      </c>
    </row>
    <row r="69" spans="1:9" ht="15.75" customHeight="1" x14ac:dyDescent="0.2">
      <c r="A69" s="19" t="s">
        <v>92</v>
      </c>
      <c r="B69" s="37">
        <v>-0.1037</v>
      </c>
      <c r="C69" s="37">
        <v>-4.2200000000000001E-2</v>
      </c>
      <c r="D69" s="37">
        <v>1.9300000000000001E-2</v>
      </c>
      <c r="E69" s="42">
        <v>8.0699999999999994E-2</v>
      </c>
      <c r="F69" s="42">
        <v>0.14219999999999999</v>
      </c>
      <c r="G69" s="41">
        <v>0.20369999999999999</v>
      </c>
      <c r="H69" s="41">
        <v>0.26519999999999999</v>
      </c>
    </row>
    <row r="70" spans="1:9" ht="15.75" customHeight="1" x14ac:dyDescent="0.2">
      <c r="A70" s="19" t="s">
        <v>93</v>
      </c>
      <c r="B70" s="37">
        <v>-5.1900000000000002E-2</v>
      </c>
      <c r="C70" s="37">
        <v>1.2200000000000001E-2</v>
      </c>
      <c r="D70" s="42">
        <v>7.6300000000000007E-2</v>
      </c>
      <c r="E70" s="42">
        <v>0.1404</v>
      </c>
      <c r="F70" s="41">
        <v>0.2044</v>
      </c>
      <c r="G70" s="41">
        <v>0.26850000000000002</v>
      </c>
      <c r="H70" s="41">
        <v>0.33260000000000001</v>
      </c>
    </row>
    <row r="71" spans="1:9" ht="15.75" customHeight="1" x14ac:dyDescent="0.2">
      <c r="A71" s="23" t="s">
        <v>94</v>
      </c>
      <c r="B71" s="37">
        <v>0</v>
      </c>
      <c r="C71" s="42">
        <v>6.6699999999999995E-2</v>
      </c>
      <c r="D71" s="42">
        <v>0.1333</v>
      </c>
      <c r="E71" s="41">
        <v>0.2</v>
      </c>
      <c r="F71" s="41">
        <v>0.26669999999999999</v>
      </c>
      <c r="G71" s="41">
        <v>0.33329999999999999</v>
      </c>
      <c r="H71" s="41">
        <v>0.4</v>
      </c>
    </row>
    <row r="72" spans="1:9" ht="15.75" customHeight="1" x14ac:dyDescent="0.2">
      <c r="A72" s="19" t="s">
        <v>95</v>
      </c>
      <c r="B72" s="42">
        <v>5.1900000000000002E-2</v>
      </c>
      <c r="C72" s="42">
        <v>0.1211</v>
      </c>
      <c r="D72" s="41">
        <v>0.19040000000000001</v>
      </c>
      <c r="E72" s="41">
        <v>0.2596</v>
      </c>
      <c r="F72" s="41">
        <v>0.32890000000000003</v>
      </c>
      <c r="G72" s="41">
        <v>0.39810000000000001</v>
      </c>
      <c r="H72" s="41">
        <v>0.46739999999999998</v>
      </c>
    </row>
    <row r="73" spans="1:9" ht="15.75" customHeight="1" x14ac:dyDescent="0.2">
      <c r="A73" s="19" t="s">
        <v>96</v>
      </c>
      <c r="B73" s="42">
        <v>0.1037</v>
      </c>
      <c r="C73" s="41">
        <v>0.17560000000000001</v>
      </c>
      <c r="D73" s="41">
        <v>0.24740000000000001</v>
      </c>
      <c r="E73" s="41">
        <v>0.31929999999999997</v>
      </c>
      <c r="F73" s="41">
        <v>0.3911</v>
      </c>
      <c r="G73" s="41">
        <v>0.46300000000000002</v>
      </c>
      <c r="H73" s="41">
        <v>0.53480000000000005</v>
      </c>
    </row>
    <row r="74" spans="1:9" ht="15.75" customHeight="1" x14ac:dyDescent="0.2">
      <c r="A74" s="19" t="s">
        <v>97</v>
      </c>
      <c r="B74" s="41">
        <v>0.15559999999999999</v>
      </c>
      <c r="C74" s="41">
        <v>0.23</v>
      </c>
      <c r="D74" s="41">
        <v>0.3044</v>
      </c>
      <c r="E74" s="41">
        <v>0.37890000000000001</v>
      </c>
      <c r="F74" s="41">
        <v>0.45329999999999998</v>
      </c>
      <c r="G74" s="41">
        <v>0.52780000000000005</v>
      </c>
      <c r="H74" s="41">
        <v>0.60219999999999996</v>
      </c>
    </row>
    <row r="75" spans="1:9" ht="15.75" customHeight="1" x14ac:dyDescent="0.2">
      <c r="A75" s="19" t="s">
        <v>98</v>
      </c>
      <c r="B75" s="41">
        <v>0.2074</v>
      </c>
      <c r="C75" s="41">
        <v>0.28439999999999999</v>
      </c>
      <c r="D75" s="41">
        <v>0.36149999999999999</v>
      </c>
      <c r="E75" s="41">
        <v>0.4385</v>
      </c>
      <c r="F75" s="41">
        <v>0.51559999999999995</v>
      </c>
      <c r="G75" s="41">
        <v>0.59260000000000002</v>
      </c>
      <c r="H75" s="41">
        <v>0.66959999999999997</v>
      </c>
    </row>
    <row r="76" spans="1:9" ht="15.75" customHeight="1" x14ac:dyDescent="0.2">
      <c r="A76" s="19" t="s">
        <v>99</v>
      </c>
      <c r="B76" s="41">
        <v>0.25929999999999997</v>
      </c>
      <c r="C76" s="41">
        <v>0.33889999999999998</v>
      </c>
      <c r="D76" s="41">
        <v>0.41849999999999998</v>
      </c>
      <c r="E76" s="41">
        <v>0.49809999999999999</v>
      </c>
      <c r="F76" s="41">
        <v>0.57779999999999998</v>
      </c>
      <c r="G76" s="41">
        <v>0.65739999999999998</v>
      </c>
      <c r="H76" s="41">
        <v>0.73699999999999999</v>
      </c>
    </row>
    <row r="82" spans="1:9" ht="21.75" customHeight="1" x14ac:dyDescent="0.2">
      <c r="A82" s="6" t="s">
        <v>105</v>
      </c>
      <c r="B82" s="6"/>
      <c r="C82" s="6"/>
      <c r="D82" s="6"/>
      <c r="E82" s="6"/>
      <c r="F82" s="6"/>
      <c r="G82" s="6"/>
      <c r="H82" s="6"/>
      <c r="I82" s="6"/>
    </row>
    <row r="83" spans="1:9" ht="18" customHeight="1" x14ac:dyDescent="0.2">
      <c r="A83" s="2" t="s">
        <v>83</v>
      </c>
      <c r="B83" s="2"/>
      <c r="C83" s="2"/>
      <c r="D83" s="2"/>
      <c r="E83" s="2"/>
      <c r="F83" s="2"/>
      <c r="G83" s="2"/>
      <c r="H83" s="2"/>
      <c r="I83" s="2"/>
    </row>
    <row r="84" spans="1:9" ht="18" customHeight="1" x14ac:dyDescent="0.2">
      <c r="A84" s="25" t="s">
        <v>84</v>
      </c>
      <c r="B84" s="11" t="s">
        <v>85</v>
      </c>
      <c r="C84" s="11" t="s">
        <v>86</v>
      </c>
      <c r="D84" s="11" t="s">
        <v>87</v>
      </c>
      <c r="E84" s="11" t="s">
        <v>88</v>
      </c>
      <c r="F84" s="11" t="s">
        <v>89</v>
      </c>
      <c r="G84" s="11" t="s">
        <v>90</v>
      </c>
      <c r="H84" s="11" t="s">
        <v>91</v>
      </c>
    </row>
    <row r="85" spans="1:9" ht="15.75" customHeight="1" x14ac:dyDescent="0.2">
      <c r="A85" s="19" t="s">
        <v>92</v>
      </c>
      <c r="B85" s="37">
        <v>0.54</v>
      </c>
      <c r="C85" s="37">
        <v>0.51400000000000001</v>
      </c>
      <c r="D85" s="37">
        <v>0.48799999999999999</v>
      </c>
      <c r="E85" s="37">
        <v>0.46200000000000002</v>
      </c>
      <c r="F85" s="38">
        <v>0.436</v>
      </c>
      <c r="G85" s="38">
        <v>0.41</v>
      </c>
      <c r="H85" s="38">
        <v>0.38400000000000001</v>
      </c>
    </row>
    <row r="86" spans="1:9" ht="15.75" customHeight="1" x14ac:dyDescent="0.2">
      <c r="A86" s="19" t="s">
        <v>93</v>
      </c>
      <c r="B86" s="37">
        <v>0.51</v>
      </c>
      <c r="C86" s="37">
        <v>0.48249999999999998</v>
      </c>
      <c r="D86" s="38">
        <v>0.45500000000000002</v>
      </c>
      <c r="E86" s="38">
        <v>0.42749999999999999</v>
      </c>
      <c r="F86" s="38">
        <v>0.4</v>
      </c>
      <c r="G86" s="38">
        <v>0.3725</v>
      </c>
      <c r="H86" s="38">
        <v>0.34499999999999997</v>
      </c>
    </row>
    <row r="87" spans="1:9" ht="15.75" customHeight="1" x14ac:dyDescent="0.2">
      <c r="A87" s="39" t="s">
        <v>94</v>
      </c>
      <c r="B87" s="37">
        <v>0.48</v>
      </c>
      <c r="C87" s="38">
        <v>0.45100000000000001</v>
      </c>
      <c r="D87" s="38">
        <v>0.42199999999999999</v>
      </c>
      <c r="E87" s="38">
        <v>0.39300000000000002</v>
      </c>
      <c r="F87" s="38">
        <v>0.36399999999999999</v>
      </c>
      <c r="G87" s="38">
        <v>0.33500000000000002</v>
      </c>
      <c r="H87" s="38">
        <v>0.30599999999999999</v>
      </c>
    </row>
    <row r="88" spans="1:9" ht="15.75" customHeight="1" x14ac:dyDescent="0.2">
      <c r="A88" s="19" t="s">
        <v>95</v>
      </c>
      <c r="B88" s="38">
        <v>0.45</v>
      </c>
      <c r="C88" s="38">
        <v>0.41949999999999998</v>
      </c>
      <c r="D88" s="38">
        <v>0.38900000000000001</v>
      </c>
      <c r="E88" s="38">
        <v>0.35849999999999999</v>
      </c>
      <c r="F88" s="38">
        <v>0.32800000000000001</v>
      </c>
      <c r="G88" s="40">
        <v>0.29749999999999999</v>
      </c>
      <c r="H88" s="40">
        <v>0.26700000000000002</v>
      </c>
    </row>
    <row r="89" spans="1:9" ht="15.75" customHeight="1" x14ac:dyDescent="0.2">
      <c r="A89" s="19" t="s">
        <v>96</v>
      </c>
      <c r="B89" s="38">
        <v>0.42</v>
      </c>
      <c r="C89" s="38">
        <v>0.38800000000000001</v>
      </c>
      <c r="D89" s="38">
        <v>0.35599999999999998</v>
      </c>
      <c r="E89" s="38">
        <v>0.32400000000000001</v>
      </c>
      <c r="F89" s="40">
        <v>0.29199999999999998</v>
      </c>
      <c r="G89" s="40">
        <v>0.26</v>
      </c>
      <c r="H89" s="40">
        <v>0.22800000000000001</v>
      </c>
    </row>
    <row r="90" spans="1:9" ht="15.75" customHeight="1" x14ac:dyDescent="0.2">
      <c r="A90" s="19" t="s">
        <v>97</v>
      </c>
      <c r="B90" s="38">
        <v>0.39</v>
      </c>
      <c r="C90" s="38">
        <v>0.35649999999999998</v>
      </c>
      <c r="D90" s="38">
        <v>0.32300000000000001</v>
      </c>
      <c r="E90" s="40">
        <v>0.28949999999999998</v>
      </c>
      <c r="F90" s="40">
        <v>0.25600000000000001</v>
      </c>
      <c r="G90" s="40">
        <v>0.2225</v>
      </c>
      <c r="H90" s="41">
        <v>0.189</v>
      </c>
    </row>
    <row r="91" spans="1:9" ht="15.75" customHeight="1" x14ac:dyDescent="0.2">
      <c r="A91" s="19" t="s">
        <v>98</v>
      </c>
      <c r="B91" s="38">
        <v>0.36</v>
      </c>
      <c r="C91" s="38">
        <v>0.32500000000000001</v>
      </c>
      <c r="D91" s="40">
        <v>0.28999999999999998</v>
      </c>
      <c r="E91" s="40">
        <v>0.255</v>
      </c>
      <c r="F91" s="40">
        <v>0.22</v>
      </c>
      <c r="G91" s="41">
        <v>0.185</v>
      </c>
      <c r="H91" s="41">
        <v>0.15</v>
      </c>
    </row>
    <row r="92" spans="1:9" ht="15.75" customHeight="1" x14ac:dyDescent="0.2">
      <c r="A92" s="19" t="s">
        <v>99</v>
      </c>
      <c r="B92" s="38">
        <v>0.33</v>
      </c>
      <c r="C92" s="40">
        <v>0.29349999999999998</v>
      </c>
      <c r="D92" s="40">
        <v>0.25700000000000001</v>
      </c>
      <c r="E92" s="40">
        <v>0.2205</v>
      </c>
      <c r="F92" s="41">
        <v>0.184</v>
      </c>
      <c r="G92" s="41">
        <v>0.14749999999999999</v>
      </c>
      <c r="H92" s="41">
        <v>0.111</v>
      </c>
    </row>
    <row r="94" spans="1:9" ht="15.75" customHeight="1" x14ac:dyDescent="0.2">
      <c r="A94" s="1" t="s">
        <v>100</v>
      </c>
      <c r="B94" s="1"/>
      <c r="C94" s="1"/>
      <c r="D94" s="1"/>
      <c r="E94" s="1"/>
      <c r="F94" s="1"/>
      <c r="G94" s="1"/>
      <c r="H94" s="1"/>
      <c r="I94" s="1"/>
    </row>
    <row r="95" spans="1:9" ht="15.75" customHeight="1" x14ac:dyDescent="0.2">
      <c r="A95" s="11" t="s">
        <v>84</v>
      </c>
      <c r="B95" s="11" t="s">
        <v>85</v>
      </c>
      <c r="C95" s="11" t="s">
        <v>86</v>
      </c>
      <c r="D95" s="11" t="s">
        <v>87</v>
      </c>
      <c r="E95" s="11" t="s">
        <v>88</v>
      </c>
      <c r="F95" s="11" t="s">
        <v>89</v>
      </c>
      <c r="G95" s="11" t="s">
        <v>90</v>
      </c>
      <c r="H95" s="11" t="s">
        <v>91</v>
      </c>
    </row>
    <row r="96" spans="1:9" ht="15.75" customHeight="1" x14ac:dyDescent="0.2">
      <c r="A96" s="19" t="s">
        <v>92</v>
      </c>
      <c r="B96" s="37">
        <v>-0.125</v>
      </c>
      <c r="C96" s="37">
        <v>-7.0800000000000002E-2</v>
      </c>
      <c r="D96" s="37">
        <v>-1.67E-2</v>
      </c>
      <c r="E96" s="37">
        <v>3.7499999999999999E-2</v>
      </c>
      <c r="F96" s="42">
        <v>9.1700000000000004E-2</v>
      </c>
      <c r="G96" s="42">
        <v>0.14580000000000001</v>
      </c>
      <c r="H96" s="41">
        <v>0.2</v>
      </c>
    </row>
    <row r="97" spans="1:9" ht="15.75" customHeight="1" x14ac:dyDescent="0.2">
      <c r="A97" s="19" t="s">
        <v>93</v>
      </c>
      <c r="B97" s="37">
        <v>-6.25E-2</v>
      </c>
      <c r="C97" s="37">
        <v>-5.1999999999999998E-3</v>
      </c>
      <c r="D97" s="42">
        <v>5.21E-2</v>
      </c>
      <c r="E97" s="42">
        <v>0.1094</v>
      </c>
      <c r="F97" s="41">
        <v>0.16669999999999999</v>
      </c>
      <c r="G97" s="41">
        <v>0.224</v>
      </c>
      <c r="H97" s="41">
        <v>0.28129999999999999</v>
      </c>
    </row>
    <row r="98" spans="1:9" ht="15.75" customHeight="1" x14ac:dyDescent="0.2">
      <c r="A98" s="23" t="s">
        <v>94</v>
      </c>
      <c r="B98" s="37">
        <v>0</v>
      </c>
      <c r="C98" s="42">
        <v>6.0400000000000002E-2</v>
      </c>
      <c r="D98" s="42">
        <v>0.1208</v>
      </c>
      <c r="E98" s="41">
        <v>0.1812</v>
      </c>
      <c r="F98" s="41">
        <v>0.2417</v>
      </c>
      <c r="G98" s="41">
        <v>0.30209999999999998</v>
      </c>
      <c r="H98" s="41">
        <v>0.36249999999999999</v>
      </c>
    </row>
    <row r="99" spans="1:9" ht="15.75" customHeight="1" x14ac:dyDescent="0.2">
      <c r="A99" s="19" t="s">
        <v>95</v>
      </c>
      <c r="B99" s="42">
        <v>6.25E-2</v>
      </c>
      <c r="C99" s="42">
        <v>0.126</v>
      </c>
      <c r="D99" s="41">
        <v>0.18959999999999999</v>
      </c>
      <c r="E99" s="41">
        <v>0.25309999999999999</v>
      </c>
      <c r="F99" s="41">
        <v>0.31669999999999998</v>
      </c>
      <c r="G99" s="41">
        <v>0.38019999999999998</v>
      </c>
      <c r="H99" s="41">
        <v>0.44379999999999997</v>
      </c>
    </row>
    <row r="100" spans="1:9" ht="15.75" customHeight="1" x14ac:dyDescent="0.2">
      <c r="A100" s="19" t="s">
        <v>96</v>
      </c>
      <c r="B100" s="42">
        <v>0.125</v>
      </c>
      <c r="C100" s="41">
        <v>0.19170000000000001</v>
      </c>
      <c r="D100" s="41">
        <v>0.25829999999999997</v>
      </c>
      <c r="E100" s="41">
        <v>0.32500000000000001</v>
      </c>
      <c r="F100" s="41">
        <v>0.39169999999999999</v>
      </c>
      <c r="G100" s="41">
        <v>0.45829999999999999</v>
      </c>
      <c r="H100" s="41">
        <v>0.52500000000000002</v>
      </c>
    </row>
    <row r="101" spans="1:9" ht="15.75" customHeight="1" x14ac:dyDescent="0.2">
      <c r="A101" s="19" t="s">
        <v>97</v>
      </c>
      <c r="B101" s="41">
        <v>0.1875</v>
      </c>
      <c r="C101" s="41">
        <v>0.25729999999999997</v>
      </c>
      <c r="D101" s="41">
        <v>0.3271</v>
      </c>
      <c r="E101" s="41">
        <v>0.39689999999999998</v>
      </c>
      <c r="F101" s="41">
        <v>0.4667</v>
      </c>
      <c r="G101" s="41">
        <v>0.53649999999999998</v>
      </c>
      <c r="H101" s="41">
        <v>0.60629999999999995</v>
      </c>
    </row>
    <row r="102" spans="1:9" ht="15.75" customHeight="1" x14ac:dyDescent="0.2">
      <c r="A102" s="19" t="s">
        <v>98</v>
      </c>
      <c r="B102" s="41">
        <v>0.25</v>
      </c>
      <c r="C102" s="41">
        <v>0.32290000000000002</v>
      </c>
      <c r="D102" s="41">
        <v>0.39579999999999999</v>
      </c>
      <c r="E102" s="41">
        <v>0.46870000000000001</v>
      </c>
      <c r="F102" s="41">
        <v>0.54169999999999996</v>
      </c>
      <c r="G102" s="41">
        <v>0.61460000000000004</v>
      </c>
      <c r="H102" s="41">
        <v>0.6875</v>
      </c>
    </row>
    <row r="103" spans="1:9" ht="15.75" customHeight="1" x14ac:dyDescent="0.2">
      <c r="A103" s="19" t="s">
        <v>99</v>
      </c>
      <c r="B103" s="41">
        <v>0.3125</v>
      </c>
      <c r="C103" s="41">
        <v>0.38850000000000001</v>
      </c>
      <c r="D103" s="41">
        <v>0.46460000000000001</v>
      </c>
      <c r="E103" s="41">
        <v>0.54059999999999997</v>
      </c>
      <c r="F103" s="41">
        <v>0.61670000000000003</v>
      </c>
      <c r="G103" s="41">
        <v>0.69269999999999998</v>
      </c>
      <c r="H103" s="41">
        <v>0.76880000000000004</v>
      </c>
    </row>
    <row r="106" spans="1:9" ht="18" customHeight="1" x14ac:dyDescent="0.2">
      <c r="A106" s="2" t="s">
        <v>101</v>
      </c>
      <c r="B106" s="2"/>
      <c r="C106" s="2"/>
      <c r="D106" s="2"/>
      <c r="E106" s="2"/>
      <c r="F106" s="2"/>
      <c r="G106" s="2"/>
      <c r="H106" s="2"/>
      <c r="I106" s="2"/>
    </row>
    <row r="107" spans="1:9" ht="18" customHeight="1" x14ac:dyDescent="0.2">
      <c r="A107" s="25" t="s">
        <v>84</v>
      </c>
      <c r="B107" s="11" t="s">
        <v>85</v>
      </c>
      <c r="C107" s="11" t="s">
        <v>86</v>
      </c>
      <c r="D107" s="11" t="s">
        <v>87</v>
      </c>
      <c r="E107" s="11" t="s">
        <v>88</v>
      </c>
      <c r="F107" s="11" t="s">
        <v>89</v>
      </c>
      <c r="G107" s="11" t="s">
        <v>90</v>
      </c>
      <c r="H107" s="11" t="s">
        <v>91</v>
      </c>
    </row>
    <row r="108" spans="1:9" ht="15.75" customHeight="1" x14ac:dyDescent="0.2">
      <c r="A108" s="19" t="s">
        <v>92</v>
      </c>
      <c r="B108" s="37">
        <v>0.51</v>
      </c>
      <c r="C108" s="37">
        <v>0.497</v>
      </c>
      <c r="D108" s="37">
        <v>0.48399999999999999</v>
      </c>
      <c r="E108" s="37">
        <v>0.47099999999999997</v>
      </c>
      <c r="F108" s="37">
        <v>0.45800000000000002</v>
      </c>
      <c r="G108" s="38">
        <v>0.44500000000000001</v>
      </c>
      <c r="H108" s="38">
        <v>0.432</v>
      </c>
    </row>
    <row r="109" spans="1:9" ht="15.75" customHeight="1" x14ac:dyDescent="0.2">
      <c r="A109" s="19" t="s">
        <v>93</v>
      </c>
      <c r="B109" s="37">
        <v>0.495</v>
      </c>
      <c r="C109" s="37">
        <v>0.48120000000000002</v>
      </c>
      <c r="D109" s="37">
        <v>0.46750000000000003</v>
      </c>
      <c r="E109" s="38">
        <v>0.45369999999999999</v>
      </c>
      <c r="F109" s="38">
        <v>0.44</v>
      </c>
      <c r="G109" s="38">
        <v>0.42620000000000002</v>
      </c>
      <c r="H109" s="38">
        <v>0.41249999999999998</v>
      </c>
    </row>
    <row r="110" spans="1:9" ht="15.75" customHeight="1" x14ac:dyDescent="0.2">
      <c r="A110" s="39" t="s">
        <v>94</v>
      </c>
      <c r="B110" s="37">
        <v>0.48</v>
      </c>
      <c r="C110" s="37">
        <v>0.46550000000000002</v>
      </c>
      <c r="D110" s="38">
        <v>0.45100000000000001</v>
      </c>
      <c r="E110" s="38">
        <v>0.4365</v>
      </c>
      <c r="F110" s="38">
        <v>0.42199999999999999</v>
      </c>
      <c r="G110" s="38">
        <v>0.40749999999999997</v>
      </c>
      <c r="H110" s="38">
        <v>0.39300000000000002</v>
      </c>
    </row>
    <row r="111" spans="1:9" ht="15.75" customHeight="1" x14ac:dyDescent="0.2">
      <c r="A111" s="19" t="s">
        <v>95</v>
      </c>
      <c r="B111" s="37">
        <v>0.46500000000000002</v>
      </c>
      <c r="C111" s="38">
        <v>0.44969999999999999</v>
      </c>
      <c r="D111" s="38">
        <v>0.4345</v>
      </c>
      <c r="E111" s="38">
        <v>0.41930000000000001</v>
      </c>
      <c r="F111" s="38">
        <v>0.40400000000000003</v>
      </c>
      <c r="G111" s="38">
        <v>0.38869999999999999</v>
      </c>
      <c r="H111" s="38">
        <v>0.3735</v>
      </c>
    </row>
    <row r="112" spans="1:9" ht="15.75" customHeight="1" x14ac:dyDescent="0.2">
      <c r="A112" s="19" t="s">
        <v>96</v>
      </c>
      <c r="B112" s="38">
        <v>0.45</v>
      </c>
      <c r="C112" s="38">
        <v>0.434</v>
      </c>
      <c r="D112" s="38">
        <v>0.41799999999999998</v>
      </c>
      <c r="E112" s="38">
        <v>0.40200000000000002</v>
      </c>
      <c r="F112" s="38">
        <v>0.38600000000000001</v>
      </c>
      <c r="G112" s="38">
        <v>0.37</v>
      </c>
      <c r="H112" s="38">
        <v>0.35399999999999998</v>
      </c>
    </row>
    <row r="113" spans="1:9" ht="15.75" customHeight="1" x14ac:dyDescent="0.2">
      <c r="A113" s="19" t="s">
        <v>97</v>
      </c>
      <c r="B113" s="38">
        <v>0.435</v>
      </c>
      <c r="C113" s="38">
        <v>0.41820000000000002</v>
      </c>
      <c r="D113" s="38">
        <v>0.40150000000000002</v>
      </c>
      <c r="E113" s="38">
        <v>0.38479999999999998</v>
      </c>
      <c r="F113" s="38">
        <v>0.36799999999999999</v>
      </c>
      <c r="G113" s="38">
        <v>0.35120000000000001</v>
      </c>
      <c r="H113" s="38">
        <v>0.33450000000000002</v>
      </c>
    </row>
    <row r="114" spans="1:9" ht="15.75" customHeight="1" x14ac:dyDescent="0.2">
      <c r="A114" s="19" t="s">
        <v>98</v>
      </c>
      <c r="B114" s="38">
        <v>0.42</v>
      </c>
      <c r="C114" s="38">
        <v>0.40250000000000002</v>
      </c>
      <c r="D114" s="38">
        <v>0.38500000000000001</v>
      </c>
      <c r="E114" s="38">
        <v>0.36749999999999999</v>
      </c>
      <c r="F114" s="38">
        <v>0.35</v>
      </c>
      <c r="G114" s="38">
        <v>0.33250000000000002</v>
      </c>
      <c r="H114" s="38">
        <v>0.315</v>
      </c>
    </row>
    <row r="115" spans="1:9" ht="15.75" customHeight="1" x14ac:dyDescent="0.2">
      <c r="A115" s="19" t="s">
        <v>99</v>
      </c>
      <c r="B115" s="38">
        <v>0.40500000000000003</v>
      </c>
      <c r="C115" s="38">
        <v>0.38669999999999999</v>
      </c>
      <c r="D115" s="38">
        <v>0.36849999999999999</v>
      </c>
      <c r="E115" s="38">
        <v>0.3503</v>
      </c>
      <c r="F115" s="38">
        <v>0.33200000000000002</v>
      </c>
      <c r="G115" s="38">
        <v>0.31369999999999998</v>
      </c>
      <c r="H115" s="40">
        <v>0.29549999999999998</v>
      </c>
    </row>
    <row r="117" spans="1:9" ht="15.75" customHeight="1" x14ac:dyDescent="0.2">
      <c r="A117" s="1" t="s">
        <v>102</v>
      </c>
      <c r="B117" s="1"/>
      <c r="C117" s="1"/>
      <c r="D117" s="1"/>
      <c r="E117" s="1"/>
      <c r="F117" s="1"/>
      <c r="G117" s="1"/>
      <c r="H117" s="1"/>
      <c r="I117" s="1"/>
    </row>
    <row r="118" spans="1:9" ht="15.75" customHeight="1" x14ac:dyDescent="0.2">
      <c r="A118" s="11" t="s">
        <v>84</v>
      </c>
      <c r="B118" s="11" t="s">
        <v>85</v>
      </c>
      <c r="C118" s="11" t="s">
        <v>86</v>
      </c>
      <c r="D118" s="11" t="s">
        <v>87</v>
      </c>
      <c r="E118" s="11" t="s">
        <v>88</v>
      </c>
      <c r="F118" s="11" t="s">
        <v>89</v>
      </c>
      <c r="G118" s="11" t="s">
        <v>90</v>
      </c>
      <c r="H118" s="11" t="s">
        <v>91</v>
      </c>
    </row>
    <row r="119" spans="1:9" ht="15.75" customHeight="1" x14ac:dyDescent="0.2">
      <c r="A119" s="19" t="s">
        <v>92</v>
      </c>
      <c r="B119" s="37">
        <v>-0.125</v>
      </c>
      <c r="C119" s="37">
        <v>-7.0800000000000002E-2</v>
      </c>
      <c r="D119" s="37">
        <v>-1.67E-2</v>
      </c>
      <c r="E119" s="37">
        <v>3.7499999999999999E-2</v>
      </c>
      <c r="F119" s="42">
        <v>9.1700000000000004E-2</v>
      </c>
      <c r="G119" s="42">
        <v>0.14580000000000001</v>
      </c>
      <c r="H119" s="41">
        <v>0.2</v>
      </c>
    </row>
    <row r="120" spans="1:9" ht="15.75" customHeight="1" x14ac:dyDescent="0.2">
      <c r="A120" s="19" t="s">
        <v>93</v>
      </c>
      <c r="B120" s="37">
        <v>-6.25E-2</v>
      </c>
      <c r="C120" s="37">
        <v>-5.1999999999999998E-3</v>
      </c>
      <c r="D120" s="42">
        <v>5.21E-2</v>
      </c>
      <c r="E120" s="42">
        <v>0.1094</v>
      </c>
      <c r="F120" s="41">
        <v>0.16669999999999999</v>
      </c>
      <c r="G120" s="41">
        <v>0.224</v>
      </c>
      <c r="H120" s="41">
        <v>0.28129999999999999</v>
      </c>
    </row>
    <row r="121" spans="1:9" ht="15.75" customHeight="1" x14ac:dyDescent="0.2">
      <c r="A121" s="23" t="s">
        <v>94</v>
      </c>
      <c r="B121" s="37">
        <v>0</v>
      </c>
      <c r="C121" s="42">
        <v>6.0400000000000002E-2</v>
      </c>
      <c r="D121" s="42">
        <v>0.1208</v>
      </c>
      <c r="E121" s="41">
        <v>0.1812</v>
      </c>
      <c r="F121" s="41">
        <v>0.2417</v>
      </c>
      <c r="G121" s="41">
        <v>0.30209999999999998</v>
      </c>
      <c r="H121" s="41">
        <v>0.36249999999999999</v>
      </c>
    </row>
    <row r="122" spans="1:9" ht="15.75" customHeight="1" x14ac:dyDescent="0.2">
      <c r="A122" s="19" t="s">
        <v>95</v>
      </c>
      <c r="B122" s="42">
        <v>6.25E-2</v>
      </c>
      <c r="C122" s="42">
        <v>0.126</v>
      </c>
      <c r="D122" s="41">
        <v>0.18959999999999999</v>
      </c>
      <c r="E122" s="41">
        <v>0.25309999999999999</v>
      </c>
      <c r="F122" s="41">
        <v>0.31669999999999998</v>
      </c>
      <c r="G122" s="41">
        <v>0.38019999999999998</v>
      </c>
      <c r="H122" s="41">
        <v>0.44379999999999997</v>
      </c>
    </row>
    <row r="123" spans="1:9" ht="15.75" customHeight="1" x14ac:dyDescent="0.2">
      <c r="A123" s="19" t="s">
        <v>96</v>
      </c>
      <c r="B123" s="42">
        <v>0.125</v>
      </c>
      <c r="C123" s="41">
        <v>0.19170000000000001</v>
      </c>
      <c r="D123" s="41">
        <v>0.25829999999999997</v>
      </c>
      <c r="E123" s="41">
        <v>0.32500000000000001</v>
      </c>
      <c r="F123" s="41">
        <v>0.39169999999999999</v>
      </c>
      <c r="G123" s="41">
        <v>0.45829999999999999</v>
      </c>
      <c r="H123" s="41">
        <v>0.52500000000000002</v>
      </c>
    </row>
    <row r="124" spans="1:9" ht="15.75" customHeight="1" x14ac:dyDescent="0.2">
      <c r="A124" s="19" t="s">
        <v>97</v>
      </c>
      <c r="B124" s="41">
        <v>0.1875</v>
      </c>
      <c r="C124" s="41">
        <v>0.25729999999999997</v>
      </c>
      <c r="D124" s="41">
        <v>0.3271</v>
      </c>
      <c r="E124" s="41">
        <v>0.39689999999999998</v>
      </c>
      <c r="F124" s="41">
        <v>0.4667</v>
      </c>
      <c r="G124" s="41">
        <v>0.53649999999999998</v>
      </c>
      <c r="H124" s="41">
        <v>0.60629999999999995</v>
      </c>
    </row>
    <row r="125" spans="1:9" ht="15.75" customHeight="1" x14ac:dyDescent="0.2">
      <c r="A125" s="19" t="s">
        <v>98</v>
      </c>
      <c r="B125" s="41">
        <v>0.25</v>
      </c>
      <c r="C125" s="41">
        <v>0.32290000000000002</v>
      </c>
      <c r="D125" s="41">
        <v>0.39579999999999999</v>
      </c>
      <c r="E125" s="41">
        <v>0.46870000000000001</v>
      </c>
      <c r="F125" s="41">
        <v>0.54169999999999996</v>
      </c>
      <c r="G125" s="41">
        <v>0.61460000000000004</v>
      </c>
      <c r="H125" s="41">
        <v>0.6875</v>
      </c>
    </row>
    <row r="126" spans="1:9" ht="15.75" customHeight="1" x14ac:dyDescent="0.2">
      <c r="A126" s="19" t="s">
        <v>99</v>
      </c>
      <c r="B126" s="41">
        <v>0.3125</v>
      </c>
      <c r="C126" s="41">
        <v>0.38850000000000001</v>
      </c>
      <c r="D126" s="41">
        <v>0.46460000000000001</v>
      </c>
      <c r="E126" s="41">
        <v>0.54059999999999997</v>
      </c>
      <c r="F126" s="41">
        <v>0.61670000000000003</v>
      </c>
      <c r="G126" s="41">
        <v>0.69269999999999998</v>
      </c>
      <c r="H126" s="41">
        <v>0.76880000000000004</v>
      </c>
    </row>
    <row r="129" spans="1:9" ht="18" customHeight="1" x14ac:dyDescent="0.2">
      <c r="A129" s="2" t="s">
        <v>103</v>
      </c>
      <c r="B129" s="2"/>
      <c r="C129" s="2"/>
      <c r="D129" s="2"/>
      <c r="E129" s="2"/>
      <c r="F129" s="2"/>
      <c r="G129" s="2"/>
      <c r="H129" s="2"/>
      <c r="I129" s="2"/>
    </row>
    <row r="130" spans="1:9" ht="18" customHeight="1" x14ac:dyDescent="0.2">
      <c r="A130" s="25" t="s">
        <v>84</v>
      </c>
      <c r="B130" s="11" t="s">
        <v>85</v>
      </c>
      <c r="C130" s="11" t="s">
        <v>86</v>
      </c>
      <c r="D130" s="11" t="s">
        <v>87</v>
      </c>
      <c r="E130" s="11" t="s">
        <v>88</v>
      </c>
      <c r="F130" s="11" t="s">
        <v>89</v>
      </c>
      <c r="G130" s="11" t="s">
        <v>90</v>
      </c>
      <c r="H130" s="11" t="s">
        <v>91</v>
      </c>
    </row>
    <row r="131" spans="1:9" ht="15.75" customHeight="1" x14ac:dyDescent="0.2">
      <c r="A131" s="19" t="s">
        <v>92</v>
      </c>
      <c r="B131" s="37">
        <v>0.48</v>
      </c>
      <c r="C131" s="37">
        <v>0.48</v>
      </c>
      <c r="D131" s="37">
        <v>0.48</v>
      </c>
      <c r="E131" s="37">
        <v>0.48</v>
      </c>
      <c r="F131" s="37">
        <v>0.48</v>
      </c>
      <c r="G131" s="37">
        <v>0.48</v>
      </c>
      <c r="H131" s="37">
        <v>0.48</v>
      </c>
    </row>
    <row r="132" spans="1:9" ht="15.75" customHeight="1" x14ac:dyDescent="0.2">
      <c r="A132" s="19" t="s">
        <v>93</v>
      </c>
      <c r="B132" s="37">
        <v>0.48</v>
      </c>
      <c r="C132" s="37">
        <v>0.48</v>
      </c>
      <c r="D132" s="37">
        <v>0.48</v>
      </c>
      <c r="E132" s="37">
        <v>0.48</v>
      </c>
      <c r="F132" s="37">
        <v>0.48</v>
      </c>
      <c r="G132" s="37">
        <v>0.48</v>
      </c>
      <c r="H132" s="37">
        <v>0.48</v>
      </c>
    </row>
    <row r="133" spans="1:9" ht="15.75" customHeight="1" x14ac:dyDescent="0.2">
      <c r="A133" s="39" t="s">
        <v>94</v>
      </c>
      <c r="B133" s="37">
        <v>0.48</v>
      </c>
      <c r="C133" s="37">
        <v>0.48</v>
      </c>
      <c r="D133" s="37">
        <v>0.48</v>
      </c>
      <c r="E133" s="37">
        <v>0.48</v>
      </c>
      <c r="F133" s="37">
        <v>0.48</v>
      </c>
      <c r="G133" s="37">
        <v>0.48</v>
      </c>
      <c r="H133" s="37">
        <v>0.48</v>
      </c>
    </row>
    <row r="134" spans="1:9" ht="15.75" customHeight="1" x14ac:dyDescent="0.2">
      <c r="A134" s="19" t="s">
        <v>95</v>
      </c>
      <c r="B134" s="37">
        <v>0.48</v>
      </c>
      <c r="C134" s="37">
        <v>0.48</v>
      </c>
      <c r="D134" s="37">
        <v>0.48</v>
      </c>
      <c r="E134" s="37">
        <v>0.48</v>
      </c>
      <c r="F134" s="37">
        <v>0.48</v>
      </c>
      <c r="G134" s="37">
        <v>0.48</v>
      </c>
      <c r="H134" s="37">
        <v>0.48</v>
      </c>
    </row>
    <row r="135" spans="1:9" ht="15.75" customHeight="1" x14ac:dyDescent="0.2">
      <c r="A135" s="19" t="s">
        <v>96</v>
      </c>
      <c r="B135" s="37">
        <v>0.48</v>
      </c>
      <c r="C135" s="37">
        <v>0.48</v>
      </c>
      <c r="D135" s="37">
        <v>0.48</v>
      </c>
      <c r="E135" s="37">
        <v>0.48</v>
      </c>
      <c r="F135" s="37">
        <v>0.48</v>
      </c>
      <c r="G135" s="37">
        <v>0.48</v>
      </c>
      <c r="H135" s="37">
        <v>0.48</v>
      </c>
    </row>
    <row r="136" spans="1:9" ht="15.75" customHeight="1" x14ac:dyDescent="0.2">
      <c r="A136" s="19" t="s">
        <v>97</v>
      </c>
      <c r="B136" s="37">
        <v>0.48</v>
      </c>
      <c r="C136" s="37">
        <v>0.48</v>
      </c>
      <c r="D136" s="37">
        <v>0.48</v>
      </c>
      <c r="E136" s="37">
        <v>0.48</v>
      </c>
      <c r="F136" s="37">
        <v>0.48</v>
      </c>
      <c r="G136" s="37">
        <v>0.48</v>
      </c>
      <c r="H136" s="37">
        <v>0.48</v>
      </c>
    </row>
    <row r="137" spans="1:9" ht="15.75" customHeight="1" x14ac:dyDescent="0.2">
      <c r="A137" s="19" t="s">
        <v>98</v>
      </c>
      <c r="B137" s="37">
        <v>0.48</v>
      </c>
      <c r="C137" s="37">
        <v>0.48</v>
      </c>
      <c r="D137" s="37">
        <v>0.48</v>
      </c>
      <c r="E137" s="37">
        <v>0.48</v>
      </c>
      <c r="F137" s="37">
        <v>0.48</v>
      </c>
      <c r="G137" s="37">
        <v>0.48</v>
      </c>
      <c r="H137" s="37">
        <v>0.48</v>
      </c>
    </row>
    <row r="138" spans="1:9" ht="15.75" customHeight="1" x14ac:dyDescent="0.2">
      <c r="A138" s="19" t="s">
        <v>99</v>
      </c>
      <c r="B138" s="37">
        <v>0.48</v>
      </c>
      <c r="C138" s="37">
        <v>0.48</v>
      </c>
      <c r="D138" s="37">
        <v>0.48</v>
      </c>
      <c r="E138" s="37">
        <v>0.48</v>
      </c>
      <c r="F138" s="37">
        <v>0.48</v>
      </c>
      <c r="G138" s="37">
        <v>0.48</v>
      </c>
      <c r="H138" s="37">
        <v>0.48</v>
      </c>
    </row>
    <row r="140" spans="1:9" ht="15.75" customHeight="1" x14ac:dyDescent="0.2">
      <c r="A140" s="1" t="s">
        <v>104</v>
      </c>
      <c r="B140" s="1"/>
      <c r="C140" s="1"/>
      <c r="D140" s="1"/>
      <c r="E140" s="1"/>
      <c r="F140" s="1"/>
      <c r="G140" s="1"/>
      <c r="H140" s="1"/>
      <c r="I140" s="1"/>
    </row>
    <row r="141" spans="1:9" ht="15.75" customHeight="1" x14ac:dyDescent="0.2">
      <c r="A141" s="11" t="s">
        <v>84</v>
      </c>
      <c r="B141" s="11" t="s">
        <v>85</v>
      </c>
      <c r="C141" s="11" t="s">
        <v>86</v>
      </c>
      <c r="D141" s="11" t="s">
        <v>87</v>
      </c>
      <c r="E141" s="11" t="s">
        <v>88</v>
      </c>
      <c r="F141" s="11" t="s">
        <v>89</v>
      </c>
      <c r="G141" s="11" t="s">
        <v>90</v>
      </c>
      <c r="H141" s="11" t="s">
        <v>91</v>
      </c>
    </row>
    <row r="142" spans="1:9" ht="15.75" customHeight="1" x14ac:dyDescent="0.2">
      <c r="A142" s="19" t="s">
        <v>92</v>
      </c>
      <c r="B142" s="37">
        <v>-0.125</v>
      </c>
      <c r="C142" s="37">
        <v>-7.0800000000000002E-2</v>
      </c>
      <c r="D142" s="37">
        <v>-1.67E-2</v>
      </c>
      <c r="E142" s="37">
        <v>3.7499999999999999E-2</v>
      </c>
      <c r="F142" s="42">
        <v>9.1700000000000004E-2</v>
      </c>
      <c r="G142" s="42">
        <v>0.14580000000000001</v>
      </c>
      <c r="H142" s="41">
        <v>0.2</v>
      </c>
    </row>
    <row r="143" spans="1:9" ht="15.75" customHeight="1" x14ac:dyDescent="0.2">
      <c r="A143" s="19" t="s">
        <v>93</v>
      </c>
      <c r="B143" s="37">
        <v>-6.25E-2</v>
      </c>
      <c r="C143" s="37">
        <v>-5.1999999999999998E-3</v>
      </c>
      <c r="D143" s="42">
        <v>5.21E-2</v>
      </c>
      <c r="E143" s="42">
        <v>0.1094</v>
      </c>
      <c r="F143" s="41">
        <v>0.16669999999999999</v>
      </c>
      <c r="G143" s="41">
        <v>0.224</v>
      </c>
      <c r="H143" s="41">
        <v>0.28129999999999999</v>
      </c>
    </row>
    <row r="144" spans="1:9" ht="15.75" customHeight="1" x14ac:dyDescent="0.2">
      <c r="A144" s="23" t="s">
        <v>94</v>
      </c>
      <c r="B144" s="37">
        <v>0</v>
      </c>
      <c r="C144" s="42">
        <v>6.0400000000000002E-2</v>
      </c>
      <c r="D144" s="42">
        <v>0.1208</v>
      </c>
      <c r="E144" s="41">
        <v>0.1812</v>
      </c>
      <c r="F144" s="41">
        <v>0.2417</v>
      </c>
      <c r="G144" s="41">
        <v>0.30209999999999998</v>
      </c>
      <c r="H144" s="41">
        <v>0.36249999999999999</v>
      </c>
    </row>
    <row r="145" spans="1:9" ht="15.75" customHeight="1" x14ac:dyDescent="0.2">
      <c r="A145" s="19" t="s">
        <v>95</v>
      </c>
      <c r="B145" s="42">
        <v>6.25E-2</v>
      </c>
      <c r="C145" s="42">
        <v>0.126</v>
      </c>
      <c r="D145" s="41">
        <v>0.18959999999999999</v>
      </c>
      <c r="E145" s="41">
        <v>0.25309999999999999</v>
      </c>
      <c r="F145" s="41">
        <v>0.31669999999999998</v>
      </c>
      <c r="G145" s="41">
        <v>0.38019999999999998</v>
      </c>
      <c r="H145" s="41">
        <v>0.44379999999999997</v>
      </c>
    </row>
    <row r="146" spans="1:9" ht="15.75" customHeight="1" x14ac:dyDescent="0.2">
      <c r="A146" s="19" t="s">
        <v>96</v>
      </c>
      <c r="B146" s="42">
        <v>0.125</v>
      </c>
      <c r="C146" s="41">
        <v>0.19170000000000001</v>
      </c>
      <c r="D146" s="41">
        <v>0.25829999999999997</v>
      </c>
      <c r="E146" s="41">
        <v>0.32500000000000001</v>
      </c>
      <c r="F146" s="41">
        <v>0.39169999999999999</v>
      </c>
      <c r="G146" s="41">
        <v>0.45829999999999999</v>
      </c>
      <c r="H146" s="41">
        <v>0.52500000000000002</v>
      </c>
    </row>
    <row r="147" spans="1:9" ht="15.75" customHeight="1" x14ac:dyDescent="0.2">
      <c r="A147" s="19" t="s">
        <v>97</v>
      </c>
      <c r="B147" s="41">
        <v>0.1875</v>
      </c>
      <c r="C147" s="41">
        <v>0.25729999999999997</v>
      </c>
      <c r="D147" s="41">
        <v>0.3271</v>
      </c>
      <c r="E147" s="41">
        <v>0.39689999999999998</v>
      </c>
      <c r="F147" s="41">
        <v>0.4667</v>
      </c>
      <c r="G147" s="41">
        <v>0.53649999999999998</v>
      </c>
      <c r="H147" s="41">
        <v>0.60629999999999995</v>
      </c>
    </row>
    <row r="148" spans="1:9" ht="15.75" customHeight="1" x14ac:dyDescent="0.2">
      <c r="A148" s="19" t="s">
        <v>98</v>
      </c>
      <c r="B148" s="41">
        <v>0.25</v>
      </c>
      <c r="C148" s="41">
        <v>0.32290000000000002</v>
      </c>
      <c r="D148" s="41">
        <v>0.39579999999999999</v>
      </c>
      <c r="E148" s="41">
        <v>0.46870000000000001</v>
      </c>
      <c r="F148" s="41">
        <v>0.54169999999999996</v>
      </c>
      <c r="G148" s="41">
        <v>0.61460000000000004</v>
      </c>
      <c r="H148" s="41">
        <v>0.6875</v>
      </c>
    </row>
    <row r="149" spans="1:9" ht="15.75" customHeight="1" x14ac:dyDescent="0.2">
      <c r="A149" s="19" t="s">
        <v>99</v>
      </c>
      <c r="B149" s="41">
        <v>0.3125</v>
      </c>
      <c r="C149" s="41">
        <v>0.38850000000000001</v>
      </c>
      <c r="D149" s="41">
        <v>0.46460000000000001</v>
      </c>
      <c r="E149" s="41">
        <v>0.54059999999999997</v>
      </c>
      <c r="F149" s="41">
        <v>0.61670000000000003</v>
      </c>
      <c r="G149" s="41">
        <v>0.69269999999999998</v>
      </c>
      <c r="H149" s="41">
        <v>0.76880000000000004</v>
      </c>
    </row>
    <row r="155" spans="1:9" ht="21.75" customHeight="1" x14ac:dyDescent="0.2">
      <c r="A155" s="6" t="s">
        <v>106</v>
      </c>
      <c r="B155" s="6"/>
      <c r="C155" s="6"/>
      <c r="D155" s="6"/>
      <c r="E155" s="6"/>
      <c r="F155" s="6"/>
      <c r="G155" s="6"/>
      <c r="H155" s="6"/>
      <c r="I155" s="6"/>
    </row>
    <row r="156" spans="1:9" ht="18" customHeight="1" x14ac:dyDescent="0.2">
      <c r="A156" s="2" t="s">
        <v>83</v>
      </c>
      <c r="B156" s="2"/>
      <c r="C156" s="2"/>
      <c r="D156" s="2"/>
      <c r="E156" s="2"/>
      <c r="F156" s="2"/>
      <c r="G156" s="2"/>
      <c r="H156" s="2"/>
      <c r="I156" s="2"/>
    </row>
    <row r="157" spans="1:9" ht="18" customHeight="1" x14ac:dyDescent="0.2">
      <c r="A157" s="25" t="s">
        <v>84</v>
      </c>
      <c r="B157" s="11" t="s">
        <v>85</v>
      </c>
      <c r="C157" s="11" t="s">
        <v>86</v>
      </c>
      <c r="D157" s="11" t="s">
        <v>87</v>
      </c>
      <c r="E157" s="11" t="s">
        <v>88</v>
      </c>
      <c r="F157" s="11" t="s">
        <v>89</v>
      </c>
      <c r="G157" s="11" t="s">
        <v>90</v>
      </c>
      <c r="H157" s="11" t="s">
        <v>91</v>
      </c>
    </row>
    <row r="158" spans="1:9" ht="15.75" customHeight="1" x14ac:dyDescent="0.2">
      <c r="A158" s="19" t="s">
        <v>92</v>
      </c>
      <c r="B158" s="37">
        <v>0.48399999999999999</v>
      </c>
      <c r="C158" s="37">
        <v>0.4632</v>
      </c>
      <c r="D158" s="37">
        <v>0.44240000000000002</v>
      </c>
      <c r="E158" s="37">
        <v>0.42159999999999997</v>
      </c>
      <c r="F158" s="37">
        <v>0.40079999999999999</v>
      </c>
      <c r="G158" s="38">
        <v>0.38</v>
      </c>
      <c r="H158" s="38">
        <v>0.35920000000000002</v>
      </c>
    </row>
    <row r="159" spans="1:9" ht="15.75" customHeight="1" x14ac:dyDescent="0.2">
      <c r="A159" s="19" t="s">
        <v>93</v>
      </c>
      <c r="B159" s="37">
        <v>0.442</v>
      </c>
      <c r="C159" s="37">
        <v>0.41909999999999997</v>
      </c>
      <c r="D159" s="37">
        <v>0.3962</v>
      </c>
      <c r="E159" s="38">
        <v>0.37330000000000002</v>
      </c>
      <c r="F159" s="38">
        <v>0.35039999999999999</v>
      </c>
      <c r="G159" s="38">
        <v>0.32750000000000001</v>
      </c>
      <c r="H159" s="38">
        <v>0.30459999999999998</v>
      </c>
    </row>
    <row r="160" spans="1:9" ht="15.75" customHeight="1" x14ac:dyDescent="0.2">
      <c r="A160" s="39" t="s">
        <v>94</v>
      </c>
      <c r="B160" s="37">
        <v>0.4</v>
      </c>
      <c r="C160" s="38">
        <v>0.375</v>
      </c>
      <c r="D160" s="38">
        <v>0.35</v>
      </c>
      <c r="E160" s="38">
        <v>0.32500000000000001</v>
      </c>
      <c r="F160" s="38">
        <v>0.3</v>
      </c>
      <c r="G160" s="40">
        <v>0.27500000000000002</v>
      </c>
      <c r="H160" s="40">
        <v>0.25</v>
      </c>
    </row>
    <row r="161" spans="1:9" ht="15.75" customHeight="1" x14ac:dyDescent="0.2">
      <c r="A161" s="19" t="s">
        <v>95</v>
      </c>
      <c r="B161" s="38">
        <v>0.35799999999999998</v>
      </c>
      <c r="C161" s="38">
        <v>0.33090000000000003</v>
      </c>
      <c r="D161" s="38">
        <v>0.30380000000000001</v>
      </c>
      <c r="E161" s="40">
        <v>0.2767</v>
      </c>
      <c r="F161" s="40">
        <v>0.24959999999999999</v>
      </c>
      <c r="G161" s="40">
        <v>0.2225</v>
      </c>
      <c r="H161" s="41">
        <v>0.19539999999999999</v>
      </c>
    </row>
    <row r="162" spans="1:9" ht="15.75" customHeight="1" x14ac:dyDescent="0.2">
      <c r="A162" s="19" t="s">
        <v>96</v>
      </c>
      <c r="B162" s="38">
        <v>0.316</v>
      </c>
      <c r="C162" s="40">
        <v>0.2868</v>
      </c>
      <c r="D162" s="40">
        <v>0.2576</v>
      </c>
      <c r="E162" s="40">
        <v>0.22839999999999999</v>
      </c>
      <c r="F162" s="41">
        <v>0.19919999999999999</v>
      </c>
      <c r="G162" s="41">
        <v>0.17</v>
      </c>
      <c r="H162" s="41">
        <v>0.14080000000000001</v>
      </c>
    </row>
    <row r="163" spans="1:9" ht="15.75" customHeight="1" x14ac:dyDescent="0.2">
      <c r="A163" s="19" t="s">
        <v>97</v>
      </c>
      <c r="B163" s="40">
        <v>0.27400000000000002</v>
      </c>
      <c r="C163" s="40">
        <v>0.2427</v>
      </c>
      <c r="D163" s="40">
        <v>0.2114</v>
      </c>
      <c r="E163" s="41">
        <v>0.18010000000000001</v>
      </c>
      <c r="F163" s="41">
        <v>0.14879999999999999</v>
      </c>
      <c r="G163" s="41">
        <v>0.11749999999999999</v>
      </c>
      <c r="H163" s="41">
        <v>8.6199999999999999E-2</v>
      </c>
    </row>
    <row r="164" spans="1:9" ht="15.75" customHeight="1" x14ac:dyDescent="0.2">
      <c r="A164" s="19" t="s">
        <v>98</v>
      </c>
      <c r="B164" s="40">
        <v>0.23200000000000001</v>
      </c>
      <c r="C164" s="41">
        <v>0.1986</v>
      </c>
      <c r="D164" s="41">
        <v>0.16520000000000001</v>
      </c>
      <c r="E164" s="41">
        <v>0.1318</v>
      </c>
      <c r="F164" s="41">
        <v>9.8400000000000001E-2</v>
      </c>
      <c r="G164" s="41">
        <v>6.5000000000000002E-2</v>
      </c>
      <c r="H164" s="41">
        <v>3.1600000000000003E-2</v>
      </c>
    </row>
    <row r="165" spans="1:9" ht="15.75" customHeight="1" x14ac:dyDescent="0.2">
      <c r="A165" s="19" t="s">
        <v>99</v>
      </c>
      <c r="B165" s="41">
        <v>0.19</v>
      </c>
      <c r="C165" s="41">
        <v>0.1545</v>
      </c>
      <c r="D165" s="41">
        <v>0.11899999999999999</v>
      </c>
      <c r="E165" s="41">
        <v>8.3500000000000005E-2</v>
      </c>
      <c r="F165" s="41">
        <v>4.8000000000000001E-2</v>
      </c>
      <c r="G165" s="41">
        <v>1.2500000000000001E-2</v>
      </c>
      <c r="H165" s="41">
        <v>-2.3E-2</v>
      </c>
    </row>
    <row r="167" spans="1:9" ht="15.75" customHeight="1" x14ac:dyDescent="0.2">
      <c r="A167" s="1" t="s">
        <v>100</v>
      </c>
      <c r="B167" s="1"/>
      <c r="C167" s="1"/>
      <c r="D167" s="1"/>
      <c r="E167" s="1"/>
      <c r="F167" s="1"/>
      <c r="G167" s="1"/>
      <c r="H167" s="1"/>
      <c r="I167" s="1"/>
    </row>
    <row r="168" spans="1:9" ht="15.75" customHeight="1" x14ac:dyDescent="0.2">
      <c r="A168" s="11" t="s">
        <v>84</v>
      </c>
      <c r="B168" s="11" t="s">
        <v>85</v>
      </c>
      <c r="C168" s="11" t="s">
        <v>86</v>
      </c>
      <c r="D168" s="11" t="s">
        <v>87</v>
      </c>
      <c r="E168" s="11" t="s">
        <v>88</v>
      </c>
      <c r="F168" s="11" t="s">
        <v>89</v>
      </c>
      <c r="G168" s="11" t="s">
        <v>90</v>
      </c>
      <c r="H168" s="11" t="s">
        <v>91</v>
      </c>
    </row>
    <row r="169" spans="1:9" ht="15.75" customHeight="1" x14ac:dyDescent="0.2">
      <c r="A169" s="19" t="s">
        <v>92</v>
      </c>
      <c r="B169" s="37">
        <v>-0.21</v>
      </c>
      <c r="C169" s="37">
        <v>-0.158</v>
      </c>
      <c r="D169" s="37">
        <v>-0.106</v>
      </c>
      <c r="E169" s="37">
        <v>-5.3999999999999999E-2</v>
      </c>
      <c r="F169" s="37">
        <v>-2E-3</v>
      </c>
      <c r="G169" s="42">
        <v>0.05</v>
      </c>
      <c r="H169" s="42">
        <v>0.10199999999999999</v>
      </c>
    </row>
    <row r="170" spans="1:9" ht="15.75" customHeight="1" x14ac:dyDescent="0.2">
      <c r="A170" s="19" t="s">
        <v>93</v>
      </c>
      <c r="B170" s="37">
        <v>-0.105</v>
      </c>
      <c r="C170" s="37">
        <v>-4.7699999999999999E-2</v>
      </c>
      <c r="D170" s="37">
        <v>9.4999999999999998E-3</v>
      </c>
      <c r="E170" s="42">
        <v>6.6699999999999995E-2</v>
      </c>
      <c r="F170" s="42">
        <v>0.124</v>
      </c>
      <c r="G170" s="41">
        <v>0.18129999999999999</v>
      </c>
      <c r="H170" s="41">
        <v>0.23849999999999999</v>
      </c>
    </row>
    <row r="171" spans="1:9" ht="15.75" customHeight="1" x14ac:dyDescent="0.2">
      <c r="A171" s="23" t="s">
        <v>94</v>
      </c>
      <c r="B171" s="37">
        <v>0</v>
      </c>
      <c r="C171" s="42">
        <v>6.25E-2</v>
      </c>
      <c r="D171" s="42">
        <v>0.125</v>
      </c>
      <c r="E171" s="41">
        <v>0.1875</v>
      </c>
      <c r="F171" s="41">
        <v>0.25</v>
      </c>
      <c r="G171" s="41">
        <v>0.3125</v>
      </c>
      <c r="H171" s="41">
        <v>0.375</v>
      </c>
    </row>
    <row r="172" spans="1:9" ht="15.75" customHeight="1" x14ac:dyDescent="0.2">
      <c r="A172" s="19" t="s">
        <v>95</v>
      </c>
      <c r="B172" s="42">
        <v>0.105</v>
      </c>
      <c r="C172" s="41">
        <v>0.17280000000000001</v>
      </c>
      <c r="D172" s="41">
        <v>0.24049999999999999</v>
      </c>
      <c r="E172" s="41">
        <v>0.30830000000000002</v>
      </c>
      <c r="F172" s="41">
        <v>0.376</v>
      </c>
      <c r="G172" s="41">
        <v>0.44379999999999997</v>
      </c>
      <c r="H172" s="41">
        <v>0.51149999999999995</v>
      </c>
    </row>
    <row r="173" spans="1:9" ht="15.75" customHeight="1" x14ac:dyDescent="0.2">
      <c r="A173" s="19" t="s">
        <v>96</v>
      </c>
      <c r="B173" s="41">
        <v>0.21</v>
      </c>
      <c r="C173" s="41">
        <v>0.28299999999999997</v>
      </c>
      <c r="D173" s="41">
        <v>0.35599999999999998</v>
      </c>
      <c r="E173" s="41">
        <v>0.42899999999999999</v>
      </c>
      <c r="F173" s="41">
        <v>0.502</v>
      </c>
      <c r="G173" s="41">
        <v>0.57499999999999996</v>
      </c>
      <c r="H173" s="41">
        <v>0.64800000000000002</v>
      </c>
    </row>
    <row r="174" spans="1:9" ht="15.75" customHeight="1" x14ac:dyDescent="0.2">
      <c r="A174" s="19" t="s">
        <v>97</v>
      </c>
      <c r="B174" s="41">
        <v>0.315</v>
      </c>
      <c r="C174" s="41">
        <v>0.39329999999999998</v>
      </c>
      <c r="D174" s="41">
        <v>0.47149999999999997</v>
      </c>
      <c r="E174" s="41">
        <v>0.54979999999999996</v>
      </c>
      <c r="F174" s="41">
        <v>0.628</v>
      </c>
      <c r="G174" s="41">
        <v>0.70630000000000004</v>
      </c>
      <c r="H174" s="41">
        <v>0.78449999999999998</v>
      </c>
    </row>
    <row r="175" spans="1:9" ht="15.75" customHeight="1" x14ac:dyDescent="0.2">
      <c r="A175" s="19" t="s">
        <v>98</v>
      </c>
      <c r="B175" s="41">
        <v>0.42</v>
      </c>
      <c r="C175" s="41">
        <v>0.50349999999999995</v>
      </c>
      <c r="D175" s="41">
        <v>0.58699999999999997</v>
      </c>
      <c r="E175" s="41">
        <v>0.67049999999999998</v>
      </c>
      <c r="F175" s="41">
        <v>0.754</v>
      </c>
      <c r="G175" s="41">
        <v>0.83750000000000002</v>
      </c>
      <c r="H175" s="41">
        <v>0.92100000000000004</v>
      </c>
    </row>
    <row r="176" spans="1:9" ht="15.75" customHeight="1" x14ac:dyDescent="0.2">
      <c r="A176" s="19" t="s">
        <v>99</v>
      </c>
      <c r="B176" s="41">
        <v>0.52500000000000002</v>
      </c>
      <c r="C176" s="41">
        <v>0.61380000000000001</v>
      </c>
      <c r="D176" s="41">
        <v>0.70250000000000001</v>
      </c>
      <c r="E176" s="41">
        <v>0.79120000000000001</v>
      </c>
      <c r="F176" s="41">
        <v>0.88</v>
      </c>
      <c r="G176" s="41">
        <v>0.96879999999999999</v>
      </c>
      <c r="H176" s="41">
        <v>1.0575000000000001</v>
      </c>
    </row>
    <row r="179" spans="1:9" ht="18" customHeight="1" x14ac:dyDescent="0.2">
      <c r="A179" s="2" t="s">
        <v>101</v>
      </c>
      <c r="B179" s="2"/>
      <c r="C179" s="2"/>
      <c r="D179" s="2"/>
      <c r="E179" s="2"/>
      <c r="F179" s="2"/>
      <c r="G179" s="2"/>
      <c r="H179" s="2"/>
      <c r="I179" s="2"/>
    </row>
    <row r="180" spans="1:9" ht="18" customHeight="1" x14ac:dyDescent="0.2">
      <c r="A180" s="25" t="s">
        <v>84</v>
      </c>
      <c r="B180" s="11" t="s">
        <v>85</v>
      </c>
      <c r="C180" s="11" t="s">
        <v>86</v>
      </c>
      <c r="D180" s="11" t="s">
        <v>87</v>
      </c>
      <c r="E180" s="11" t="s">
        <v>88</v>
      </c>
      <c r="F180" s="11" t="s">
        <v>89</v>
      </c>
      <c r="G180" s="11" t="s">
        <v>90</v>
      </c>
      <c r="H180" s="11" t="s">
        <v>91</v>
      </c>
    </row>
    <row r="181" spans="1:9" ht="15.75" customHeight="1" x14ac:dyDescent="0.2">
      <c r="A181" s="19" t="s">
        <v>92</v>
      </c>
      <c r="B181" s="37">
        <v>0.442</v>
      </c>
      <c r="C181" s="37">
        <v>0.43159999999999998</v>
      </c>
      <c r="D181" s="37">
        <v>0.42120000000000002</v>
      </c>
      <c r="E181" s="37">
        <v>0.4108</v>
      </c>
      <c r="F181" s="37">
        <v>0.40039999999999998</v>
      </c>
      <c r="G181" s="37">
        <v>0.39</v>
      </c>
      <c r="H181" s="38">
        <v>0.37959999999999999</v>
      </c>
    </row>
    <row r="182" spans="1:9" ht="15.75" customHeight="1" x14ac:dyDescent="0.2">
      <c r="A182" s="19" t="s">
        <v>93</v>
      </c>
      <c r="B182" s="37">
        <v>0.42099999999999999</v>
      </c>
      <c r="C182" s="37">
        <v>0.40949999999999998</v>
      </c>
      <c r="D182" s="37">
        <v>0.39810000000000001</v>
      </c>
      <c r="E182" s="37">
        <v>0.38669999999999999</v>
      </c>
      <c r="F182" s="38">
        <v>0.37519999999999998</v>
      </c>
      <c r="G182" s="38">
        <v>0.36380000000000001</v>
      </c>
      <c r="H182" s="38">
        <v>0.3523</v>
      </c>
    </row>
    <row r="183" spans="1:9" ht="15.75" customHeight="1" x14ac:dyDescent="0.2">
      <c r="A183" s="39" t="s">
        <v>94</v>
      </c>
      <c r="B183" s="37">
        <v>0.4</v>
      </c>
      <c r="C183" s="37">
        <v>0.38750000000000001</v>
      </c>
      <c r="D183" s="38">
        <v>0.375</v>
      </c>
      <c r="E183" s="38">
        <v>0.36249999999999999</v>
      </c>
      <c r="F183" s="38">
        <v>0.35</v>
      </c>
      <c r="G183" s="38">
        <v>0.33750000000000002</v>
      </c>
      <c r="H183" s="38">
        <v>0.32500000000000001</v>
      </c>
    </row>
    <row r="184" spans="1:9" ht="15.75" customHeight="1" x14ac:dyDescent="0.2">
      <c r="A184" s="19" t="s">
        <v>95</v>
      </c>
      <c r="B184" s="38">
        <v>0.379</v>
      </c>
      <c r="C184" s="38">
        <v>0.3654</v>
      </c>
      <c r="D184" s="38">
        <v>0.35189999999999999</v>
      </c>
      <c r="E184" s="38">
        <v>0.33839999999999998</v>
      </c>
      <c r="F184" s="38">
        <v>0.32479999999999998</v>
      </c>
      <c r="G184" s="38">
        <v>0.31130000000000002</v>
      </c>
      <c r="H184" s="40">
        <v>0.29770000000000002</v>
      </c>
    </row>
    <row r="185" spans="1:9" ht="15.75" customHeight="1" x14ac:dyDescent="0.2">
      <c r="A185" s="19" t="s">
        <v>96</v>
      </c>
      <c r="B185" s="38">
        <v>0.35799999999999998</v>
      </c>
      <c r="C185" s="38">
        <v>0.34339999999999998</v>
      </c>
      <c r="D185" s="38">
        <v>0.32879999999999998</v>
      </c>
      <c r="E185" s="38">
        <v>0.31419999999999998</v>
      </c>
      <c r="F185" s="40">
        <v>0.29959999999999998</v>
      </c>
      <c r="G185" s="40">
        <v>0.28499999999999998</v>
      </c>
      <c r="H185" s="40">
        <v>0.27039999999999997</v>
      </c>
    </row>
    <row r="186" spans="1:9" ht="15.75" customHeight="1" x14ac:dyDescent="0.2">
      <c r="A186" s="19" t="s">
        <v>97</v>
      </c>
      <c r="B186" s="38">
        <v>0.33700000000000002</v>
      </c>
      <c r="C186" s="38">
        <v>0.32140000000000002</v>
      </c>
      <c r="D186" s="38">
        <v>0.30570000000000003</v>
      </c>
      <c r="E186" s="40">
        <v>0.29010000000000002</v>
      </c>
      <c r="F186" s="40">
        <v>0.27439999999999998</v>
      </c>
      <c r="G186" s="40">
        <v>0.25869999999999999</v>
      </c>
      <c r="H186" s="40">
        <v>0.24310000000000001</v>
      </c>
    </row>
    <row r="187" spans="1:9" ht="15.75" customHeight="1" x14ac:dyDescent="0.2">
      <c r="A187" s="19" t="s">
        <v>98</v>
      </c>
      <c r="B187" s="38">
        <v>0.316</v>
      </c>
      <c r="C187" s="40">
        <v>0.29930000000000001</v>
      </c>
      <c r="D187" s="40">
        <v>0.28260000000000002</v>
      </c>
      <c r="E187" s="40">
        <v>0.26590000000000003</v>
      </c>
      <c r="F187" s="40">
        <v>0.2492</v>
      </c>
      <c r="G187" s="40">
        <v>0.23250000000000001</v>
      </c>
      <c r="H187" s="40">
        <v>0.21579999999999999</v>
      </c>
    </row>
    <row r="188" spans="1:9" ht="15.75" customHeight="1" x14ac:dyDescent="0.2">
      <c r="A188" s="19" t="s">
        <v>99</v>
      </c>
      <c r="B188" s="40">
        <v>0.29499999999999998</v>
      </c>
      <c r="C188" s="40">
        <v>0.2772</v>
      </c>
      <c r="D188" s="40">
        <v>0.25950000000000001</v>
      </c>
      <c r="E188" s="40">
        <v>0.24179999999999999</v>
      </c>
      <c r="F188" s="40">
        <v>0.224</v>
      </c>
      <c r="G188" s="40">
        <v>0.20630000000000001</v>
      </c>
      <c r="H188" s="41">
        <v>0.1885</v>
      </c>
    </row>
    <row r="190" spans="1:9" ht="15.75" customHeight="1" x14ac:dyDescent="0.2">
      <c r="A190" s="1" t="s">
        <v>102</v>
      </c>
      <c r="B190" s="1"/>
      <c r="C190" s="1"/>
      <c r="D190" s="1"/>
      <c r="E190" s="1"/>
      <c r="F190" s="1"/>
      <c r="G190" s="1"/>
      <c r="H190" s="1"/>
      <c r="I190" s="1"/>
    </row>
    <row r="191" spans="1:9" ht="15.75" customHeight="1" x14ac:dyDescent="0.2">
      <c r="A191" s="11" t="s">
        <v>84</v>
      </c>
      <c r="B191" s="11" t="s">
        <v>85</v>
      </c>
      <c r="C191" s="11" t="s">
        <v>86</v>
      </c>
      <c r="D191" s="11" t="s">
        <v>87</v>
      </c>
      <c r="E191" s="11" t="s">
        <v>88</v>
      </c>
      <c r="F191" s="11" t="s">
        <v>89</v>
      </c>
      <c r="G191" s="11" t="s">
        <v>90</v>
      </c>
      <c r="H191" s="11" t="s">
        <v>91</v>
      </c>
    </row>
    <row r="192" spans="1:9" ht="15.75" customHeight="1" x14ac:dyDescent="0.2">
      <c r="A192" s="19" t="s">
        <v>92</v>
      </c>
      <c r="B192" s="37">
        <v>-0.21</v>
      </c>
      <c r="C192" s="37">
        <v>-0.158</v>
      </c>
      <c r="D192" s="37">
        <v>-0.106</v>
      </c>
      <c r="E192" s="37">
        <v>-5.3999999999999999E-2</v>
      </c>
      <c r="F192" s="37">
        <v>-2E-3</v>
      </c>
      <c r="G192" s="42">
        <v>0.05</v>
      </c>
      <c r="H192" s="42">
        <v>0.10199999999999999</v>
      </c>
    </row>
    <row r="193" spans="1:9" ht="15.75" customHeight="1" x14ac:dyDescent="0.2">
      <c r="A193" s="19" t="s">
        <v>93</v>
      </c>
      <c r="B193" s="37">
        <v>-0.105</v>
      </c>
      <c r="C193" s="37">
        <v>-4.7699999999999999E-2</v>
      </c>
      <c r="D193" s="37">
        <v>9.4999999999999998E-3</v>
      </c>
      <c r="E193" s="42">
        <v>6.6699999999999995E-2</v>
      </c>
      <c r="F193" s="42">
        <v>0.124</v>
      </c>
      <c r="G193" s="41">
        <v>0.18129999999999999</v>
      </c>
      <c r="H193" s="41">
        <v>0.23849999999999999</v>
      </c>
    </row>
    <row r="194" spans="1:9" ht="15.75" customHeight="1" x14ac:dyDescent="0.2">
      <c r="A194" s="23" t="s">
        <v>94</v>
      </c>
      <c r="B194" s="37">
        <v>0</v>
      </c>
      <c r="C194" s="42">
        <v>6.25E-2</v>
      </c>
      <c r="D194" s="42">
        <v>0.125</v>
      </c>
      <c r="E194" s="41">
        <v>0.1875</v>
      </c>
      <c r="F194" s="41">
        <v>0.25</v>
      </c>
      <c r="G194" s="41">
        <v>0.3125</v>
      </c>
      <c r="H194" s="41">
        <v>0.375</v>
      </c>
    </row>
    <row r="195" spans="1:9" ht="15.75" customHeight="1" x14ac:dyDescent="0.2">
      <c r="A195" s="19" t="s">
        <v>95</v>
      </c>
      <c r="B195" s="42">
        <v>0.105</v>
      </c>
      <c r="C195" s="41">
        <v>0.17280000000000001</v>
      </c>
      <c r="D195" s="41">
        <v>0.24049999999999999</v>
      </c>
      <c r="E195" s="41">
        <v>0.30830000000000002</v>
      </c>
      <c r="F195" s="41">
        <v>0.376</v>
      </c>
      <c r="G195" s="41">
        <v>0.44379999999999997</v>
      </c>
      <c r="H195" s="41">
        <v>0.51149999999999995</v>
      </c>
    </row>
    <row r="196" spans="1:9" ht="15.75" customHeight="1" x14ac:dyDescent="0.2">
      <c r="A196" s="19" t="s">
        <v>96</v>
      </c>
      <c r="B196" s="41">
        <v>0.21</v>
      </c>
      <c r="C196" s="41">
        <v>0.28299999999999997</v>
      </c>
      <c r="D196" s="41">
        <v>0.35599999999999998</v>
      </c>
      <c r="E196" s="41">
        <v>0.42899999999999999</v>
      </c>
      <c r="F196" s="41">
        <v>0.502</v>
      </c>
      <c r="G196" s="41">
        <v>0.57499999999999996</v>
      </c>
      <c r="H196" s="41">
        <v>0.64800000000000002</v>
      </c>
    </row>
    <row r="197" spans="1:9" ht="15.75" customHeight="1" x14ac:dyDescent="0.2">
      <c r="A197" s="19" t="s">
        <v>97</v>
      </c>
      <c r="B197" s="41">
        <v>0.315</v>
      </c>
      <c r="C197" s="41">
        <v>0.39329999999999998</v>
      </c>
      <c r="D197" s="41">
        <v>0.47149999999999997</v>
      </c>
      <c r="E197" s="41">
        <v>0.54979999999999996</v>
      </c>
      <c r="F197" s="41">
        <v>0.628</v>
      </c>
      <c r="G197" s="41">
        <v>0.70630000000000004</v>
      </c>
      <c r="H197" s="41">
        <v>0.78449999999999998</v>
      </c>
    </row>
    <row r="198" spans="1:9" ht="15.75" customHeight="1" x14ac:dyDescent="0.2">
      <c r="A198" s="19" t="s">
        <v>98</v>
      </c>
      <c r="B198" s="41">
        <v>0.42</v>
      </c>
      <c r="C198" s="41">
        <v>0.50349999999999995</v>
      </c>
      <c r="D198" s="41">
        <v>0.58699999999999997</v>
      </c>
      <c r="E198" s="41">
        <v>0.67049999999999998</v>
      </c>
      <c r="F198" s="41">
        <v>0.754</v>
      </c>
      <c r="G198" s="41">
        <v>0.83750000000000002</v>
      </c>
      <c r="H198" s="41">
        <v>0.92100000000000004</v>
      </c>
    </row>
    <row r="199" spans="1:9" ht="15.75" customHeight="1" x14ac:dyDescent="0.2">
      <c r="A199" s="19" t="s">
        <v>99</v>
      </c>
      <c r="B199" s="41">
        <v>0.52500000000000002</v>
      </c>
      <c r="C199" s="41">
        <v>0.61380000000000001</v>
      </c>
      <c r="D199" s="41">
        <v>0.70250000000000001</v>
      </c>
      <c r="E199" s="41">
        <v>0.79120000000000001</v>
      </c>
      <c r="F199" s="41">
        <v>0.88</v>
      </c>
      <c r="G199" s="41">
        <v>0.96879999999999999</v>
      </c>
      <c r="H199" s="41">
        <v>1.0575000000000001</v>
      </c>
    </row>
    <row r="202" spans="1:9" ht="18" customHeight="1" x14ac:dyDescent="0.2">
      <c r="A202" s="2" t="s">
        <v>103</v>
      </c>
      <c r="B202" s="2"/>
      <c r="C202" s="2"/>
      <c r="D202" s="2"/>
      <c r="E202" s="2"/>
      <c r="F202" s="2"/>
      <c r="G202" s="2"/>
      <c r="H202" s="2"/>
      <c r="I202" s="2"/>
    </row>
    <row r="203" spans="1:9" ht="18" customHeight="1" x14ac:dyDescent="0.2">
      <c r="A203" s="25" t="s">
        <v>84</v>
      </c>
      <c r="B203" s="11" t="s">
        <v>85</v>
      </c>
      <c r="C203" s="11" t="s">
        <v>86</v>
      </c>
      <c r="D203" s="11" t="s">
        <v>87</v>
      </c>
      <c r="E203" s="11" t="s">
        <v>88</v>
      </c>
      <c r="F203" s="11" t="s">
        <v>89</v>
      </c>
      <c r="G203" s="11" t="s">
        <v>90</v>
      </c>
      <c r="H203" s="11" t="s">
        <v>91</v>
      </c>
    </row>
    <row r="204" spans="1:9" ht="15.75" customHeight="1" x14ac:dyDescent="0.2">
      <c r="A204" s="19" t="s">
        <v>92</v>
      </c>
      <c r="B204" s="37">
        <v>0.4</v>
      </c>
      <c r="C204" s="37">
        <v>0.4</v>
      </c>
      <c r="D204" s="37">
        <v>0.4</v>
      </c>
      <c r="E204" s="37">
        <v>0.4</v>
      </c>
      <c r="F204" s="37">
        <v>0.4</v>
      </c>
      <c r="G204" s="37">
        <v>0.4</v>
      </c>
      <c r="H204" s="37">
        <v>0.4</v>
      </c>
    </row>
    <row r="205" spans="1:9" ht="15.75" customHeight="1" x14ac:dyDescent="0.2">
      <c r="A205" s="19" t="s">
        <v>93</v>
      </c>
      <c r="B205" s="37">
        <v>0.4</v>
      </c>
      <c r="C205" s="37">
        <v>0.4</v>
      </c>
      <c r="D205" s="37">
        <v>0.4</v>
      </c>
      <c r="E205" s="37">
        <v>0.4</v>
      </c>
      <c r="F205" s="37">
        <v>0.4</v>
      </c>
      <c r="G205" s="37">
        <v>0.4</v>
      </c>
      <c r="H205" s="37">
        <v>0.4</v>
      </c>
    </row>
    <row r="206" spans="1:9" ht="15.75" customHeight="1" x14ac:dyDescent="0.2">
      <c r="A206" s="39" t="s">
        <v>94</v>
      </c>
      <c r="B206" s="37">
        <v>0.4</v>
      </c>
      <c r="C206" s="37">
        <v>0.4</v>
      </c>
      <c r="D206" s="37">
        <v>0.4</v>
      </c>
      <c r="E206" s="37">
        <v>0.4</v>
      </c>
      <c r="F206" s="37">
        <v>0.4</v>
      </c>
      <c r="G206" s="37">
        <v>0.4</v>
      </c>
      <c r="H206" s="37">
        <v>0.4</v>
      </c>
    </row>
    <row r="207" spans="1:9" ht="15.75" customHeight="1" x14ac:dyDescent="0.2">
      <c r="A207" s="19" t="s">
        <v>95</v>
      </c>
      <c r="B207" s="37">
        <v>0.4</v>
      </c>
      <c r="C207" s="37">
        <v>0.4</v>
      </c>
      <c r="D207" s="37">
        <v>0.4</v>
      </c>
      <c r="E207" s="37">
        <v>0.4</v>
      </c>
      <c r="F207" s="37">
        <v>0.4</v>
      </c>
      <c r="G207" s="37">
        <v>0.4</v>
      </c>
      <c r="H207" s="37">
        <v>0.4</v>
      </c>
    </row>
    <row r="208" spans="1:9" ht="15.75" customHeight="1" x14ac:dyDescent="0.2">
      <c r="A208" s="19" t="s">
        <v>96</v>
      </c>
      <c r="B208" s="37">
        <v>0.4</v>
      </c>
      <c r="C208" s="37">
        <v>0.4</v>
      </c>
      <c r="D208" s="37">
        <v>0.4</v>
      </c>
      <c r="E208" s="37">
        <v>0.4</v>
      </c>
      <c r="F208" s="37">
        <v>0.4</v>
      </c>
      <c r="G208" s="37">
        <v>0.4</v>
      </c>
      <c r="H208" s="37">
        <v>0.4</v>
      </c>
    </row>
    <row r="209" spans="1:9" ht="15.75" customHeight="1" x14ac:dyDescent="0.2">
      <c r="A209" s="19" t="s">
        <v>97</v>
      </c>
      <c r="B209" s="37">
        <v>0.4</v>
      </c>
      <c r="C209" s="37">
        <v>0.4</v>
      </c>
      <c r="D209" s="37">
        <v>0.4</v>
      </c>
      <c r="E209" s="37">
        <v>0.4</v>
      </c>
      <c r="F209" s="37">
        <v>0.4</v>
      </c>
      <c r="G209" s="37">
        <v>0.4</v>
      </c>
      <c r="H209" s="37">
        <v>0.4</v>
      </c>
    </row>
    <row r="210" spans="1:9" ht="15.75" customHeight="1" x14ac:dyDescent="0.2">
      <c r="A210" s="19" t="s">
        <v>98</v>
      </c>
      <c r="B210" s="37">
        <v>0.4</v>
      </c>
      <c r="C210" s="37">
        <v>0.4</v>
      </c>
      <c r="D210" s="37">
        <v>0.4</v>
      </c>
      <c r="E210" s="37">
        <v>0.4</v>
      </c>
      <c r="F210" s="37">
        <v>0.4</v>
      </c>
      <c r="G210" s="37">
        <v>0.4</v>
      </c>
      <c r="H210" s="37">
        <v>0.4</v>
      </c>
    </row>
    <row r="211" spans="1:9" ht="15.75" customHeight="1" x14ac:dyDescent="0.2">
      <c r="A211" s="19" t="s">
        <v>99</v>
      </c>
      <c r="B211" s="37">
        <v>0.4</v>
      </c>
      <c r="C211" s="37">
        <v>0.4</v>
      </c>
      <c r="D211" s="37">
        <v>0.4</v>
      </c>
      <c r="E211" s="37">
        <v>0.4</v>
      </c>
      <c r="F211" s="37">
        <v>0.4</v>
      </c>
      <c r="G211" s="37">
        <v>0.4</v>
      </c>
      <c r="H211" s="37">
        <v>0.4</v>
      </c>
    </row>
    <row r="213" spans="1:9" ht="15.75" customHeight="1" x14ac:dyDescent="0.2">
      <c r="A213" s="1" t="s">
        <v>104</v>
      </c>
      <c r="B213" s="1"/>
      <c r="C213" s="1"/>
      <c r="D213" s="1"/>
      <c r="E213" s="1"/>
      <c r="F213" s="1"/>
      <c r="G213" s="1"/>
      <c r="H213" s="1"/>
      <c r="I213" s="1"/>
    </row>
    <row r="214" spans="1:9" ht="15.75" customHeight="1" x14ac:dyDescent="0.2">
      <c r="A214" s="11" t="s">
        <v>84</v>
      </c>
      <c r="B214" s="11" t="s">
        <v>85</v>
      </c>
      <c r="C214" s="11" t="s">
        <v>86</v>
      </c>
      <c r="D214" s="11" t="s">
        <v>87</v>
      </c>
      <c r="E214" s="11" t="s">
        <v>88</v>
      </c>
      <c r="F214" s="11" t="s">
        <v>89</v>
      </c>
      <c r="G214" s="11" t="s">
        <v>90</v>
      </c>
      <c r="H214" s="11" t="s">
        <v>91</v>
      </c>
    </row>
    <row r="215" spans="1:9" ht="15.75" customHeight="1" x14ac:dyDescent="0.2">
      <c r="A215" s="19" t="s">
        <v>92</v>
      </c>
      <c r="B215" s="37">
        <v>-0.21</v>
      </c>
      <c r="C215" s="37">
        <v>-0.158</v>
      </c>
      <c r="D215" s="37">
        <v>-0.106</v>
      </c>
      <c r="E215" s="37">
        <v>-5.3999999999999999E-2</v>
      </c>
      <c r="F215" s="37">
        <v>-2E-3</v>
      </c>
      <c r="G215" s="42">
        <v>0.05</v>
      </c>
      <c r="H215" s="42">
        <v>0.10199999999999999</v>
      </c>
    </row>
    <row r="216" spans="1:9" ht="15.75" customHeight="1" x14ac:dyDescent="0.2">
      <c r="A216" s="19" t="s">
        <v>93</v>
      </c>
      <c r="B216" s="37">
        <v>-0.105</v>
      </c>
      <c r="C216" s="37">
        <v>-4.7699999999999999E-2</v>
      </c>
      <c r="D216" s="37">
        <v>9.4999999999999998E-3</v>
      </c>
      <c r="E216" s="42">
        <v>6.6699999999999995E-2</v>
      </c>
      <c r="F216" s="42">
        <v>0.124</v>
      </c>
      <c r="G216" s="41">
        <v>0.18129999999999999</v>
      </c>
      <c r="H216" s="41">
        <v>0.23849999999999999</v>
      </c>
    </row>
    <row r="217" spans="1:9" ht="15.75" customHeight="1" x14ac:dyDescent="0.2">
      <c r="A217" s="23" t="s">
        <v>94</v>
      </c>
      <c r="B217" s="37">
        <v>0</v>
      </c>
      <c r="C217" s="42">
        <v>6.25E-2</v>
      </c>
      <c r="D217" s="42">
        <v>0.125</v>
      </c>
      <c r="E217" s="41">
        <v>0.1875</v>
      </c>
      <c r="F217" s="41">
        <v>0.25</v>
      </c>
      <c r="G217" s="41">
        <v>0.3125</v>
      </c>
      <c r="H217" s="41">
        <v>0.375</v>
      </c>
    </row>
    <row r="218" spans="1:9" ht="15.75" customHeight="1" x14ac:dyDescent="0.2">
      <c r="A218" s="19" t="s">
        <v>95</v>
      </c>
      <c r="B218" s="42">
        <v>0.105</v>
      </c>
      <c r="C218" s="41">
        <v>0.17280000000000001</v>
      </c>
      <c r="D218" s="41">
        <v>0.24049999999999999</v>
      </c>
      <c r="E218" s="41">
        <v>0.30830000000000002</v>
      </c>
      <c r="F218" s="41">
        <v>0.376</v>
      </c>
      <c r="G218" s="41">
        <v>0.44379999999999997</v>
      </c>
      <c r="H218" s="41">
        <v>0.51149999999999995</v>
      </c>
    </row>
    <row r="219" spans="1:9" ht="15.75" customHeight="1" x14ac:dyDescent="0.2">
      <c r="A219" s="19" t="s">
        <v>96</v>
      </c>
      <c r="B219" s="41">
        <v>0.21</v>
      </c>
      <c r="C219" s="41">
        <v>0.28299999999999997</v>
      </c>
      <c r="D219" s="41">
        <v>0.35599999999999998</v>
      </c>
      <c r="E219" s="41">
        <v>0.42899999999999999</v>
      </c>
      <c r="F219" s="41">
        <v>0.502</v>
      </c>
      <c r="G219" s="41">
        <v>0.57499999999999996</v>
      </c>
      <c r="H219" s="41">
        <v>0.64800000000000002</v>
      </c>
    </row>
    <row r="220" spans="1:9" ht="15.75" customHeight="1" x14ac:dyDescent="0.2">
      <c r="A220" s="19" t="s">
        <v>97</v>
      </c>
      <c r="B220" s="41">
        <v>0.315</v>
      </c>
      <c r="C220" s="41">
        <v>0.39329999999999998</v>
      </c>
      <c r="D220" s="41">
        <v>0.47149999999999997</v>
      </c>
      <c r="E220" s="41">
        <v>0.54979999999999996</v>
      </c>
      <c r="F220" s="41">
        <v>0.628</v>
      </c>
      <c r="G220" s="41">
        <v>0.70630000000000004</v>
      </c>
      <c r="H220" s="41">
        <v>0.78449999999999998</v>
      </c>
    </row>
    <row r="221" spans="1:9" ht="15.75" customHeight="1" x14ac:dyDescent="0.2">
      <c r="A221" s="19" t="s">
        <v>98</v>
      </c>
      <c r="B221" s="41">
        <v>0.42</v>
      </c>
      <c r="C221" s="41">
        <v>0.50349999999999995</v>
      </c>
      <c r="D221" s="41">
        <v>0.58699999999999997</v>
      </c>
      <c r="E221" s="41">
        <v>0.67049999999999998</v>
      </c>
      <c r="F221" s="41">
        <v>0.754</v>
      </c>
      <c r="G221" s="41">
        <v>0.83750000000000002</v>
      </c>
      <c r="H221" s="41">
        <v>0.92100000000000004</v>
      </c>
    </row>
    <row r="222" spans="1:9" ht="15.75" customHeight="1" x14ac:dyDescent="0.2">
      <c r="A222" s="19" t="s">
        <v>99</v>
      </c>
      <c r="B222" s="41">
        <v>0.52500000000000002</v>
      </c>
      <c r="C222" s="41">
        <v>0.61380000000000001</v>
      </c>
      <c r="D222" s="41">
        <v>0.70250000000000001</v>
      </c>
      <c r="E222" s="41">
        <v>0.79120000000000001</v>
      </c>
      <c r="F222" s="41">
        <v>0.88</v>
      </c>
      <c r="G222" s="41">
        <v>0.96879999999999999</v>
      </c>
      <c r="H222" s="41">
        <v>1.0575000000000001</v>
      </c>
    </row>
    <row r="228" spans="1:9" ht="21.75" customHeight="1" x14ac:dyDescent="0.2">
      <c r="A228" s="6" t="s">
        <v>107</v>
      </c>
      <c r="B228" s="6"/>
      <c r="C228" s="6"/>
      <c r="D228" s="6"/>
      <c r="E228" s="6"/>
      <c r="F228" s="6"/>
      <c r="G228" s="6"/>
      <c r="H228" s="6"/>
      <c r="I228" s="6"/>
    </row>
    <row r="229" spans="1:9" ht="18" customHeight="1" x14ac:dyDescent="0.2">
      <c r="A229" s="2" t="s">
        <v>83</v>
      </c>
      <c r="B229" s="2"/>
      <c r="C229" s="2"/>
      <c r="D229" s="2"/>
      <c r="E229" s="2"/>
      <c r="F229" s="2"/>
      <c r="G229" s="2"/>
      <c r="H229" s="2"/>
      <c r="I229" s="2"/>
    </row>
    <row r="230" spans="1:9" ht="18" customHeight="1" x14ac:dyDescent="0.2">
      <c r="A230" s="25" t="s">
        <v>84</v>
      </c>
      <c r="B230" s="11" t="s">
        <v>85</v>
      </c>
      <c r="C230" s="11" t="s">
        <v>86</v>
      </c>
      <c r="D230" s="11" t="s">
        <v>87</v>
      </c>
      <c r="E230" s="11" t="s">
        <v>88</v>
      </c>
      <c r="F230" s="11" t="s">
        <v>89</v>
      </c>
      <c r="G230" s="11" t="s">
        <v>90</v>
      </c>
      <c r="H230" s="11" t="s">
        <v>91</v>
      </c>
    </row>
    <row r="231" spans="1:9" ht="15.75" customHeight="1" x14ac:dyDescent="0.2">
      <c r="A231" s="19" t="s">
        <v>92</v>
      </c>
      <c r="B231" s="37">
        <v>0.45</v>
      </c>
      <c r="C231" s="37">
        <v>0.4345</v>
      </c>
      <c r="D231" s="37">
        <v>0.41899999999999998</v>
      </c>
      <c r="E231" s="37">
        <v>0.40350000000000003</v>
      </c>
      <c r="F231" s="37">
        <v>0.38800000000000001</v>
      </c>
      <c r="G231" s="37">
        <v>0.3725</v>
      </c>
      <c r="H231" s="38">
        <v>0.35699999999999998</v>
      </c>
    </row>
    <row r="232" spans="1:9" ht="15.75" customHeight="1" x14ac:dyDescent="0.2">
      <c r="A232" s="19" t="s">
        <v>93</v>
      </c>
      <c r="B232" s="37">
        <v>0.41499999999999998</v>
      </c>
      <c r="C232" s="37">
        <v>0.3977</v>
      </c>
      <c r="D232" s="37">
        <v>0.3805</v>
      </c>
      <c r="E232" s="37">
        <v>0.36330000000000001</v>
      </c>
      <c r="F232" s="38">
        <v>0.34599999999999997</v>
      </c>
      <c r="G232" s="38">
        <v>0.32869999999999999</v>
      </c>
      <c r="H232" s="38">
        <v>0.3115</v>
      </c>
    </row>
    <row r="233" spans="1:9" ht="15.75" customHeight="1" x14ac:dyDescent="0.2">
      <c r="A233" s="39" t="s">
        <v>94</v>
      </c>
      <c r="B233" s="37">
        <v>0.38</v>
      </c>
      <c r="C233" s="37">
        <v>0.36099999999999999</v>
      </c>
      <c r="D233" s="38">
        <v>0.34200000000000003</v>
      </c>
      <c r="E233" s="38">
        <v>0.32300000000000001</v>
      </c>
      <c r="F233" s="38">
        <v>0.30399999999999999</v>
      </c>
      <c r="G233" s="40">
        <v>0.28499999999999998</v>
      </c>
      <c r="H233" s="40">
        <v>0.26600000000000001</v>
      </c>
    </row>
    <row r="234" spans="1:9" ht="15.75" customHeight="1" x14ac:dyDescent="0.2">
      <c r="A234" s="19" t="s">
        <v>95</v>
      </c>
      <c r="B234" s="38">
        <v>0.34499999999999997</v>
      </c>
      <c r="C234" s="38">
        <v>0.32419999999999999</v>
      </c>
      <c r="D234" s="38">
        <v>0.30349999999999999</v>
      </c>
      <c r="E234" s="40">
        <v>0.2828</v>
      </c>
      <c r="F234" s="40">
        <v>0.26200000000000001</v>
      </c>
      <c r="G234" s="40">
        <v>0.2412</v>
      </c>
      <c r="H234" s="40">
        <v>0.2205</v>
      </c>
    </row>
    <row r="235" spans="1:9" ht="15.75" customHeight="1" x14ac:dyDescent="0.2">
      <c r="A235" s="19" t="s">
        <v>96</v>
      </c>
      <c r="B235" s="38">
        <v>0.31</v>
      </c>
      <c r="C235" s="40">
        <v>0.28749999999999998</v>
      </c>
      <c r="D235" s="40">
        <v>0.26500000000000001</v>
      </c>
      <c r="E235" s="40">
        <v>0.24249999999999999</v>
      </c>
      <c r="F235" s="40">
        <v>0.22</v>
      </c>
      <c r="G235" s="41">
        <v>0.19750000000000001</v>
      </c>
      <c r="H235" s="41">
        <v>0.17499999999999999</v>
      </c>
    </row>
    <row r="236" spans="1:9" ht="15.75" customHeight="1" x14ac:dyDescent="0.2">
      <c r="A236" s="19" t="s">
        <v>97</v>
      </c>
      <c r="B236" s="40">
        <v>0.27500000000000002</v>
      </c>
      <c r="C236" s="40">
        <v>0.25080000000000002</v>
      </c>
      <c r="D236" s="40">
        <v>0.22650000000000001</v>
      </c>
      <c r="E236" s="40">
        <v>0.20230000000000001</v>
      </c>
      <c r="F236" s="41">
        <v>0.17799999999999999</v>
      </c>
      <c r="G236" s="41">
        <v>0.1537</v>
      </c>
      <c r="H236" s="41">
        <v>0.1295</v>
      </c>
    </row>
    <row r="237" spans="1:9" ht="15.75" customHeight="1" x14ac:dyDescent="0.2">
      <c r="A237" s="19" t="s">
        <v>98</v>
      </c>
      <c r="B237" s="40">
        <v>0.24</v>
      </c>
      <c r="C237" s="40">
        <v>0.214</v>
      </c>
      <c r="D237" s="41">
        <v>0.188</v>
      </c>
      <c r="E237" s="41">
        <v>0.16200000000000001</v>
      </c>
      <c r="F237" s="41">
        <v>0.13600000000000001</v>
      </c>
      <c r="G237" s="41">
        <v>0.11</v>
      </c>
      <c r="H237" s="41">
        <v>8.4000000000000005E-2</v>
      </c>
    </row>
    <row r="238" spans="1:9" ht="15.75" customHeight="1" x14ac:dyDescent="0.2">
      <c r="A238" s="19" t="s">
        <v>99</v>
      </c>
      <c r="B238" s="40">
        <v>0.20499999999999999</v>
      </c>
      <c r="C238" s="41">
        <v>0.17730000000000001</v>
      </c>
      <c r="D238" s="41">
        <v>0.14949999999999999</v>
      </c>
      <c r="E238" s="41">
        <v>0.12180000000000001</v>
      </c>
      <c r="F238" s="41">
        <v>9.4E-2</v>
      </c>
      <c r="G238" s="41">
        <v>6.6299999999999998E-2</v>
      </c>
      <c r="H238" s="41">
        <v>3.85E-2</v>
      </c>
    </row>
    <row r="240" spans="1:9" ht="15.75" customHeight="1" x14ac:dyDescent="0.2">
      <c r="A240" s="1" t="s">
        <v>100</v>
      </c>
      <c r="B240" s="1"/>
      <c r="C240" s="1"/>
      <c r="D240" s="1"/>
      <c r="E240" s="1"/>
      <c r="F240" s="1"/>
      <c r="G240" s="1"/>
      <c r="H240" s="1"/>
      <c r="I240" s="1"/>
    </row>
    <row r="241" spans="1:9" ht="15.75" customHeight="1" x14ac:dyDescent="0.2">
      <c r="A241" s="11" t="s">
        <v>84</v>
      </c>
      <c r="B241" s="11" t="s">
        <v>85</v>
      </c>
      <c r="C241" s="11" t="s">
        <v>86</v>
      </c>
      <c r="D241" s="11" t="s">
        <v>87</v>
      </c>
      <c r="E241" s="11" t="s">
        <v>88</v>
      </c>
      <c r="F241" s="11" t="s">
        <v>89</v>
      </c>
      <c r="G241" s="11" t="s">
        <v>90</v>
      </c>
      <c r="H241" s="11" t="s">
        <v>91</v>
      </c>
    </row>
    <row r="242" spans="1:9" ht="15.75" customHeight="1" x14ac:dyDescent="0.2">
      <c r="A242" s="19" t="s">
        <v>92</v>
      </c>
      <c r="B242" s="37">
        <v>-0.1842</v>
      </c>
      <c r="C242" s="37">
        <v>-0.1434</v>
      </c>
      <c r="D242" s="37">
        <v>-0.1026</v>
      </c>
      <c r="E242" s="37">
        <v>-6.1800000000000001E-2</v>
      </c>
      <c r="F242" s="37">
        <v>-2.1100000000000001E-2</v>
      </c>
      <c r="G242" s="37">
        <v>1.9699999999999999E-2</v>
      </c>
      <c r="H242" s="42">
        <v>6.0499999999999998E-2</v>
      </c>
    </row>
    <row r="243" spans="1:9" ht="15.75" customHeight="1" x14ac:dyDescent="0.2">
      <c r="A243" s="19" t="s">
        <v>93</v>
      </c>
      <c r="B243" s="37">
        <v>-9.2100000000000001E-2</v>
      </c>
      <c r="C243" s="37">
        <v>-4.6699999999999998E-2</v>
      </c>
      <c r="D243" s="37">
        <v>-1.2999999999999999E-3</v>
      </c>
      <c r="E243" s="37">
        <v>4.41E-2</v>
      </c>
      <c r="F243" s="42">
        <v>8.9499999999999996E-2</v>
      </c>
      <c r="G243" s="42">
        <v>0.13489999999999999</v>
      </c>
      <c r="H243" s="41">
        <v>0.18029999999999999</v>
      </c>
    </row>
    <row r="244" spans="1:9" ht="15.75" customHeight="1" x14ac:dyDescent="0.2">
      <c r="A244" s="23" t="s">
        <v>94</v>
      </c>
      <c r="B244" s="37">
        <v>0</v>
      </c>
      <c r="C244" s="42">
        <v>0.05</v>
      </c>
      <c r="D244" s="42">
        <v>0.1</v>
      </c>
      <c r="E244" s="41">
        <v>0.15</v>
      </c>
      <c r="F244" s="41">
        <v>0.2</v>
      </c>
      <c r="G244" s="41">
        <v>0.25</v>
      </c>
      <c r="H244" s="41">
        <v>0.3</v>
      </c>
    </row>
    <row r="245" spans="1:9" ht="15.75" customHeight="1" x14ac:dyDescent="0.2">
      <c r="A245" s="19" t="s">
        <v>95</v>
      </c>
      <c r="B245" s="42">
        <v>9.2100000000000001E-2</v>
      </c>
      <c r="C245" s="42">
        <v>0.1467</v>
      </c>
      <c r="D245" s="41">
        <v>0.20130000000000001</v>
      </c>
      <c r="E245" s="41">
        <v>0.25590000000000002</v>
      </c>
      <c r="F245" s="41">
        <v>0.3105</v>
      </c>
      <c r="G245" s="41">
        <v>0.36509999999999998</v>
      </c>
      <c r="H245" s="41">
        <v>0.41970000000000002</v>
      </c>
    </row>
    <row r="246" spans="1:9" ht="15.75" customHeight="1" x14ac:dyDescent="0.2">
      <c r="A246" s="19" t="s">
        <v>96</v>
      </c>
      <c r="B246" s="41">
        <v>0.1842</v>
      </c>
      <c r="C246" s="41">
        <v>0.24340000000000001</v>
      </c>
      <c r="D246" s="41">
        <v>0.30259999999999998</v>
      </c>
      <c r="E246" s="41">
        <v>0.36180000000000001</v>
      </c>
      <c r="F246" s="41">
        <v>0.42109999999999997</v>
      </c>
      <c r="G246" s="41">
        <v>0.4803</v>
      </c>
      <c r="H246" s="41">
        <v>0.53949999999999998</v>
      </c>
    </row>
    <row r="247" spans="1:9" ht="15.75" customHeight="1" x14ac:dyDescent="0.2">
      <c r="A247" s="19" t="s">
        <v>97</v>
      </c>
      <c r="B247" s="41">
        <v>0.27629999999999999</v>
      </c>
      <c r="C247" s="41">
        <v>0.34010000000000001</v>
      </c>
      <c r="D247" s="41">
        <v>0.40389999999999998</v>
      </c>
      <c r="E247" s="41">
        <v>0.46779999999999999</v>
      </c>
      <c r="F247" s="41">
        <v>0.53159999999999996</v>
      </c>
      <c r="G247" s="41">
        <v>0.59540000000000004</v>
      </c>
      <c r="H247" s="41">
        <v>0.65920000000000001</v>
      </c>
    </row>
    <row r="248" spans="1:9" ht="15.75" customHeight="1" x14ac:dyDescent="0.2">
      <c r="A248" s="19" t="s">
        <v>98</v>
      </c>
      <c r="B248" s="41">
        <v>0.36840000000000001</v>
      </c>
      <c r="C248" s="41">
        <v>0.43680000000000002</v>
      </c>
      <c r="D248" s="41">
        <v>0.50529999999999997</v>
      </c>
      <c r="E248" s="41">
        <v>0.57369999999999999</v>
      </c>
      <c r="F248" s="41">
        <v>0.6421</v>
      </c>
      <c r="G248" s="41">
        <v>0.71050000000000002</v>
      </c>
      <c r="H248" s="41">
        <v>0.77890000000000004</v>
      </c>
    </row>
    <row r="249" spans="1:9" ht="15.75" customHeight="1" x14ac:dyDescent="0.2">
      <c r="A249" s="19" t="s">
        <v>99</v>
      </c>
      <c r="B249" s="41">
        <v>0.46050000000000002</v>
      </c>
      <c r="C249" s="41">
        <v>0.53359999999999996</v>
      </c>
      <c r="D249" s="41">
        <v>0.60660000000000003</v>
      </c>
      <c r="E249" s="41">
        <v>0.67959999999999998</v>
      </c>
      <c r="F249" s="41">
        <v>0.75260000000000005</v>
      </c>
      <c r="G249" s="41">
        <v>0.82569999999999999</v>
      </c>
      <c r="H249" s="41">
        <v>0.89870000000000005</v>
      </c>
    </row>
    <row r="252" spans="1:9" ht="18" customHeight="1" x14ac:dyDescent="0.2">
      <c r="A252" s="2" t="s">
        <v>101</v>
      </c>
      <c r="B252" s="2"/>
      <c r="C252" s="2"/>
      <c r="D252" s="2"/>
      <c r="E252" s="2"/>
      <c r="F252" s="2"/>
      <c r="G252" s="2"/>
      <c r="H252" s="2"/>
      <c r="I252" s="2"/>
    </row>
    <row r="253" spans="1:9" ht="18" customHeight="1" x14ac:dyDescent="0.2">
      <c r="A253" s="25" t="s">
        <v>84</v>
      </c>
      <c r="B253" s="11" t="s">
        <v>85</v>
      </c>
      <c r="C253" s="11" t="s">
        <v>86</v>
      </c>
      <c r="D253" s="11" t="s">
        <v>87</v>
      </c>
      <c r="E253" s="11" t="s">
        <v>88</v>
      </c>
      <c r="F253" s="11" t="s">
        <v>89</v>
      </c>
      <c r="G253" s="11" t="s">
        <v>90</v>
      </c>
      <c r="H253" s="11" t="s">
        <v>91</v>
      </c>
    </row>
    <row r="254" spans="1:9" ht="15.75" customHeight="1" x14ac:dyDescent="0.2">
      <c r="A254" s="19" t="s">
        <v>92</v>
      </c>
      <c r="B254" s="37">
        <v>0.41499999999999998</v>
      </c>
      <c r="C254" s="37">
        <v>0.4073</v>
      </c>
      <c r="D254" s="37">
        <v>0.39950000000000002</v>
      </c>
      <c r="E254" s="37">
        <v>0.39179999999999998</v>
      </c>
      <c r="F254" s="37">
        <v>0.38400000000000001</v>
      </c>
      <c r="G254" s="37">
        <v>0.37619999999999998</v>
      </c>
      <c r="H254" s="37">
        <v>0.36849999999999999</v>
      </c>
    </row>
    <row r="255" spans="1:9" ht="15.75" customHeight="1" x14ac:dyDescent="0.2">
      <c r="A255" s="19" t="s">
        <v>93</v>
      </c>
      <c r="B255" s="37">
        <v>0.39750000000000002</v>
      </c>
      <c r="C255" s="37">
        <v>0.38890000000000002</v>
      </c>
      <c r="D255" s="37">
        <v>0.38019999999999998</v>
      </c>
      <c r="E255" s="37">
        <v>0.37159999999999999</v>
      </c>
      <c r="F255" s="37">
        <v>0.36299999999999999</v>
      </c>
      <c r="G255" s="38">
        <v>0.35439999999999999</v>
      </c>
      <c r="H255" s="38">
        <v>0.3458</v>
      </c>
    </row>
    <row r="256" spans="1:9" ht="15.75" customHeight="1" x14ac:dyDescent="0.2">
      <c r="A256" s="39" t="s">
        <v>94</v>
      </c>
      <c r="B256" s="37">
        <v>0.38</v>
      </c>
      <c r="C256" s="37">
        <v>0.3705</v>
      </c>
      <c r="D256" s="37">
        <v>0.36099999999999999</v>
      </c>
      <c r="E256" s="38">
        <v>0.35149999999999998</v>
      </c>
      <c r="F256" s="38">
        <v>0.34200000000000003</v>
      </c>
      <c r="G256" s="38">
        <v>0.33250000000000002</v>
      </c>
      <c r="H256" s="38">
        <v>0.32300000000000001</v>
      </c>
    </row>
    <row r="257" spans="1:9" ht="15.75" customHeight="1" x14ac:dyDescent="0.2">
      <c r="A257" s="19" t="s">
        <v>95</v>
      </c>
      <c r="B257" s="37">
        <v>0.36249999999999999</v>
      </c>
      <c r="C257" s="38">
        <v>0.35210000000000002</v>
      </c>
      <c r="D257" s="38">
        <v>0.3417</v>
      </c>
      <c r="E257" s="38">
        <v>0.33139999999999997</v>
      </c>
      <c r="F257" s="38">
        <v>0.32100000000000001</v>
      </c>
      <c r="G257" s="38">
        <v>0.31059999999999999</v>
      </c>
      <c r="H257" s="38">
        <v>0.30020000000000002</v>
      </c>
    </row>
    <row r="258" spans="1:9" ht="15.75" customHeight="1" x14ac:dyDescent="0.2">
      <c r="A258" s="19" t="s">
        <v>96</v>
      </c>
      <c r="B258" s="38">
        <v>0.34499999999999997</v>
      </c>
      <c r="C258" s="38">
        <v>0.3337</v>
      </c>
      <c r="D258" s="38">
        <v>0.32250000000000001</v>
      </c>
      <c r="E258" s="38">
        <v>0.31130000000000002</v>
      </c>
      <c r="F258" s="38">
        <v>0.3</v>
      </c>
      <c r="G258" s="40">
        <v>0.28870000000000001</v>
      </c>
      <c r="H258" s="40">
        <v>0.27750000000000002</v>
      </c>
    </row>
    <row r="259" spans="1:9" ht="15.75" customHeight="1" x14ac:dyDescent="0.2">
      <c r="A259" s="19" t="s">
        <v>97</v>
      </c>
      <c r="B259" s="38">
        <v>0.32750000000000001</v>
      </c>
      <c r="C259" s="38">
        <v>0.31540000000000001</v>
      </c>
      <c r="D259" s="38">
        <v>0.30330000000000001</v>
      </c>
      <c r="E259" s="40">
        <v>0.29110000000000003</v>
      </c>
      <c r="F259" s="40">
        <v>0.27900000000000003</v>
      </c>
      <c r="G259" s="40">
        <v>0.26690000000000003</v>
      </c>
      <c r="H259" s="40">
        <v>0.25480000000000003</v>
      </c>
    </row>
    <row r="260" spans="1:9" ht="15.75" customHeight="1" x14ac:dyDescent="0.2">
      <c r="A260" s="19" t="s">
        <v>98</v>
      </c>
      <c r="B260" s="38">
        <v>0.31</v>
      </c>
      <c r="C260" s="40">
        <v>0.29699999999999999</v>
      </c>
      <c r="D260" s="40">
        <v>0.28399999999999997</v>
      </c>
      <c r="E260" s="40">
        <v>0.27100000000000002</v>
      </c>
      <c r="F260" s="40">
        <v>0.25800000000000001</v>
      </c>
      <c r="G260" s="40">
        <v>0.245</v>
      </c>
      <c r="H260" s="40">
        <v>0.23200000000000001</v>
      </c>
    </row>
    <row r="261" spans="1:9" ht="15.75" customHeight="1" x14ac:dyDescent="0.2">
      <c r="A261" s="19" t="s">
        <v>99</v>
      </c>
      <c r="B261" s="40">
        <v>0.29249999999999998</v>
      </c>
      <c r="C261" s="40">
        <v>0.27860000000000001</v>
      </c>
      <c r="D261" s="40">
        <v>0.26479999999999998</v>
      </c>
      <c r="E261" s="40">
        <v>0.25090000000000001</v>
      </c>
      <c r="F261" s="40">
        <v>0.23699999999999999</v>
      </c>
      <c r="G261" s="40">
        <v>0.22309999999999999</v>
      </c>
      <c r="H261" s="40">
        <v>0.20930000000000001</v>
      </c>
    </row>
    <row r="263" spans="1:9" ht="15.75" customHeight="1" x14ac:dyDescent="0.2">
      <c r="A263" s="1" t="s">
        <v>102</v>
      </c>
      <c r="B263" s="1"/>
      <c r="C263" s="1"/>
      <c r="D263" s="1"/>
      <c r="E263" s="1"/>
      <c r="F263" s="1"/>
      <c r="G263" s="1"/>
      <c r="H263" s="1"/>
      <c r="I263" s="1"/>
    </row>
    <row r="264" spans="1:9" ht="15.75" customHeight="1" x14ac:dyDescent="0.2">
      <c r="A264" s="11" t="s">
        <v>84</v>
      </c>
      <c r="B264" s="11" t="s">
        <v>85</v>
      </c>
      <c r="C264" s="11" t="s">
        <v>86</v>
      </c>
      <c r="D264" s="11" t="s">
        <v>87</v>
      </c>
      <c r="E264" s="11" t="s">
        <v>88</v>
      </c>
      <c r="F264" s="11" t="s">
        <v>89</v>
      </c>
      <c r="G264" s="11" t="s">
        <v>90</v>
      </c>
      <c r="H264" s="11" t="s">
        <v>91</v>
      </c>
    </row>
    <row r="265" spans="1:9" ht="15.75" customHeight="1" x14ac:dyDescent="0.2">
      <c r="A265" s="19" t="s">
        <v>92</v>
      </c>
      <c r="B265" s="37">
        <v>-0.1842</v>
      </c>
      <c r="C265" s="37">
        <v>-0.1434</v>
      </c>
      <c r="D265" s="37">
        <v>-0.1026</v>
      </c>
      <c r="E265" s="37">
        <v>-6.1800000000000001E-2</v>
      </c>
      <c r="F265" s="37">
        <v>-2.1100000000000001E-2</v>
      </c>
      <c r="G265" s="37">
        <v>1.9699999999999999E-2</v>
      </c>
      <c r="H265" s="42">
        <v>6.0499999999999998E-2</v>
      </c>
    </row>
    <row r="266" spans="1:9" ht="15.75" customHeight="1" x14ac:dyDescent="0.2">
      <c r="A266" s="19" t="s">
        <v>93</v>
      </c>
      <c r="B266" s="37">
        <v>-9.2100000000000001E-2</v>
      </c>
      <c r="C266" s="37">
        <v>-4.6699999999999998E-2</v>
      </c>
      <c r="D266" s="37">
        <v>-1.2999999999999999E-3</v>
      </c>
      <c r="E266" s="37">
        <v>4.41E-2</v>
      </c>
      <c r="F266" s="42">
        <v>8.9499999999999996E-2</v>
      </c>
      <c r="G266" s="42">
        <v>0.13489999999999999</v>
      </c>
      <c r="H266" s="41">
        <v>0.18029999999999999</v>
      </c>
    </row>
    <row r="267" spans="1:9" ht="15.75" customHeight="1" x14ac:dyDescent="0.2">
      <c r="A267" s="23" t="s">
        <v>94</v>
      </c>
      <c r="B267" s="37">
        <v>0</v>
      </c>
      <c r="C267" s="42">
        <v>0.05</v>
      </c>
      <c r="D267" s="42">
        <v>0.1</v>
      </c>
      <c r="E267" s="41">
        <v>0.15</v>
      </c>
      <c r="F267" s="41">
        <v>0.2</v>
      </c>
      <c r="G267" s="41">
        <v>0.25</v>
      </c>
      <c r="H267" s="41">
        <v>0.3</v>
      </c>
    </row>
    <row r="268" spans="1:9" ht="15.75" customHeight="1" x14ac:dyDescent="0.2">
      <c r="A268" s="19" t="s">
        <v>95</v>
      </c>
      <c r="B268" s="42">
        <v>9.2100000000000001E-2</v>
      </c>
      <c r="C268" s="42">
        <v>0.1467</v>
      </c>
      <c r="D268" s="41">
        <v>0.20130000000000001</v>
      </c>
      <c r="E268" s="41">
        <v>0.25590000000000002</v>
      </c>
      <c r="F268" s="41">
        <v>0.3105</v>
      </c>
      <c r="G268" s="41">
        <v>0.36509999999999998</v>
      </c>
      <c r="H268" s="41">
        <v>0.41970000000000002</v>
      </c>
    </row>
    <row r="269" spans="1:9" ht="15.75" customHeight="1" x14ac:dyDescent="0.2">
      <c r="A269" s="19" t="s">
        <v>96</v>
      </c>
      <c r="B269" s="41">
        <v>0.1842</v>
      </c>
      <c r="C269" s="41">
        <v>0.24340000000000001</v>
      </c>
      <c r="D269" s="41">
        <v>0.30259999999999998</v>
      </c>
      <c r="E269" s="41">
        <v>0.36180000000000001</v>
      </c>
      <c r="F269" s="41">
        <v>0.42109999999999997</v>
      </c>
      <c r="G269" s="41">
        <v>0.4803</v>
      </c>
      <c r="H269" s="41">
        <v>0.53949999999999998</v>
      </c>
    </row>
    <row r="270" spans="1:9" ht="15.75" customHeight="1" x14ac:dyDescent="0.2">
      <c r="A270" s="19" t="s">
        <v>97</v>
      </c>
      <c r="B270" s="41">
        <v>0.27629999999999999</v>
      </c>
      <c r="C270" s="41">
        <v>0.34010000000000001</v>
      </c>
      <c r="D270" s="41">
        <v>0.40389999999999998</v>
      </c>
      <c r="E270" s="41">
        <v>0.46779999999999999</v>
      </c>
      <c r="F270" s="41">
        <v>0.53159999999999996</v>
      </c>
      <c r="G270" s="41">
        <v>0.59540000000000004</v>
      </c>
      <c r="H270" s="41">
        <v>0.65920000000000001</v>
      </c>
    </row>
    <row r="271" spans="1:9" ht="15.75" customHeight="1" x14ac:dyDescent="0.2">
      <c r="A271" s="19" t="s">
        <v>98</v>
      </c>
      <c r="B271" s="41">
        <v>0.36840000000000001</v>
      </c>
      <c r="C271" s="41">
        <v>0.43680000000000002</v>
      </c>
      <c r="D271" s="41">
        <v>0.50529999999999997</v>
      </c>
      <c r="E271" s="41">
        <v>0.57369999999999999</v>
      </c>
      <c r="F271" s="41">
        <v>0.6421</v>
      </c>
      <c r="G271" s="41">
        <v>0.71050000000000002</v>
      </c>
      <c r="H271" s="41">
        <v>0.77890000000000004</v>
      </c>
    </row>
    <row r="272" spans="1:9" ht="15.75" customHeight="1" x14ac:dyDescent="0.2">
      <c r="A272" s="19" t="s">
        <v>99</v>
      </c>
      <c r="B272" s="41">
        <v>0.46050000000000002</v>
      </c>
      <c r="C272" s="41">
        <v>0.53359999999999996</v>
      </c>
      <c r="D272" s="41">
        <v>0.60660000000000003</v>
      </c>
      <c r="E272" s="41">
        <v>0.67959999999999998</v>
      </c>
      <c r="F272" s="41">
        <v>0.75260000000000005</v>
      </c>
      <c r="G272" s="41">
        <v>0.82569999999999999</v>
      </c>
      <c r="H272" s="41">
        <v>0.89870000000000005</v>
      </c>
    </row>
    <row r="275" spans="1:9" ht="18" customHeight="1" x14ac:dyDescent="0.2">
      <c r="A275" s="2" t="s">
        <v>103</v>
      </c>
      <c r="B275" s="2"/>
      <c r="C275" s="2"/>
      <c r="D275" s="2"/>
      <c r="E275" s="2"/>
      <c r="F275" s="2"/>
      <c r="G275" s="2"/>
      <c r="H275" s="2"/>
      <c r="I275" s="2"/>
    </row>
    <row r="276" spans="1:9" ht="18" customHeight="1" x14ac:dyDescent="0.2">
      <c r="A276" s="25" t="s">
        <v>84</v>
      </c>
      <c r="B276" s="11" t="s">
        <v>85</v>
      </c>
      <c r="C276" s="11" t="s">
        <v>86</v>
      </c>
      <c r="D276" s="11" t="s">
        <v>87</v>
      </c>
      <c r="E276" s="11" t="s">
        <v>88</v>
      </c>
      <c r="F276" s="11" t="s">
        <v>89</v>
      </c>
      <c r="G276" s="11" t="s">
        <v>90</v>
      </c>
      <c r="H276" s="11" t="s">
        <v>91</v>
      </c>
    </row>
    <row r="277" spans="1:9" ht="15.75" customHeight="1" x14ac:dyDescent="0.2">
      <c r="A277" s="19" t="s">
        <v>92</v>
      </c>
      <c r="B277" s="37">
        <v>0.38</v>
      </c>
      <c r="C277" s="37">
        <v>0.38</v>
      </c>
      <c r="D277" s="37">
        <v>0.38</v>
      </c>
      <c r="E277" s="37">
        <v>0.38</v>
      </c>
      <c r="F277" s="37">
        <v>0.38</v>
      </c>
      <c r="G277" s="37">
        <v>0.38</v>
      </c>
      <c r="H277" s="37">
        <v>0.38</v>
      </c>
    </row>
    <row r="278" spans="1:9" ht="15.75" customHeight="1" x14ac:dyDescent="0.2">
      <c r="A278" s="19" t="s">
        <v>93</v>
      </c>
      <c r="B278" s="37">
        <v>0.38</v>
      </c>
      <c r="C278" s="37">
        <v>0.38</v>
      </c>
      <c r="D278" s="37">
        <v>0.38</v>
      </c>
      <c r="E278" s="37">
        <v>0.38</v>
      </c>
      <c r="F278" s="37">
        <v>0.38</v>
      </c>
      <c r="G278" s="37">
        <v>0.38</v>
      </c>
      <c r="H278" s="37">
        <v>0.38</v>
      </c>
    </row>
    <row r="279" spans="1:9" ht="15.75" customHeight="1" x14ac:dyDescent="0.2">
      <c r="A279" s="39" t="s">
        <v>94</v>
      </c>
      <c r="B279" s="37">
        <v>0.38</v>
      </c>
      <c r="C279" s="37">
        <v>0.38</v>
      </c>
      <c r="D279" s="37">
        <v>0.38</v>
      </c>
      <c r="E279" s="37">
        <v>0.38</v>
      </c>
      <c r="F279" s="37">
        <v>0.38</v>
      </c>
      <c r="G279" s="37">
        <v>0.38</v>
      </c>
      <c r="H279" s="37">
        <v>0.38</v>
      </c>
    </row>
    <row r="280" spans="1:9" ht="15.75" customHeight="1" x14ac:dyDescent="0.2">
      <c r="A280" s="19" t="s">
        <v>95</v>
      </c>
      <c r="B280" s="37">
        <v>0.38</v>
      </c>
      <c r="C280" s="37">
        <v>0.38</v>
      </c>
      <c r="D280" s="37">
        <v>0.38</v>
      </c>
      <c r="E280" s="37">
        <v>0.38</v>
      </c>
      <c r="F280" s="37">
        <v>0.38</v>
      </c>
      <c r="G280" s="37">
        <v>0.38</v>
      </c>
      <c r="H280" s="37">
        <v>0.38</v>
      </c>
    </row>
    <row r="281" spans="1:9" ht="15.75" customHeight="1" x14ac:dyDescent="0.2">
      <c r="A281" s="19" t="s">
        <v>96</v>
      </c>
      <c r="B281" s="37">
        <v>0.38</v>
      </c>
      <c r="C281" s="37">
        <v>0.38</v>
      </c>
      <c r="D281" s="37">
        <v>0.38</v>
      </c>
      <c r="E281" s="37">
        <v>0.38</v>
      </c>
      <c r="F281" s="37">
        <v>0.38</v>
      </c>
      <c r="G281" s="37">
        <v>0.38</v>
      </c>
      <c r="H281" s="37">
        <v>0.38</v>
      </c>
    </row>
    <row r="282" spans="1:9" ht="15.75" customHeight="1" x14ac:dyDescent="0.2">
      <c r="A282" s="19" t="s">
        <v>97</v>
      </c>
      <c r="B282" s="37">
        <v>0.38</v>
      </c>
      <c r="C282" s="37">
        <v>0.38</v>
      </c>
      <c r="D282" s="37">
        <v>0.38</v>
      </c>
      <c r="E282" s="37">
        <v>0.38</v>
      </c>
      <c r="F282" s="37">
        <v>0.38</v>
      </c>
      <c r="G282" s="37">
        <v>0.38</v>
      </c>
      <c r="H282" s="37">
        <v>0.38</v>
      </c>
    </row>
    <row r="283" spans="1:9" ht="15.75" customHeight="1" x14ac:dyDescent="0.2">
      <c r="A283" s="19" t="s">
        <v>98</v>
      </c>
      <c r="B283" s="37">
        <v>0.38</v>
      </c>
      <c r="C283" s="37">
        <v>0.38</v>
      </c>
      <c r="D283" s="37">
        <v>0.38</v>
      </c>
      <c r="E283" s="37">
        <v>0.38</v>
      </c>
      <c r="F283" s="37">
        <v>0.38</v>
      </c>
      <c r="G283" s="37">
        <v>0.38</v>
      </c>
      <c r="H283" s="37">
        <v>0.38</v>
      </c>
    </row>
    <row r="284" spans="1:9" ht="15.75" customHeight="1" x14ac:dyDescent="0.2">
      <c r="A284" s="19" t="s">
        <v>99</v>
      </c>
      <c r="B284" s="37">
        <v>0.38</v>
      </c>
      <c r="C284" s="37">
        <v>0.38</v>
      </c>
      <c r="D284" s="37">
        <v>0.38</v>
      </c>
      <c r="E284" s="37">
        <v>0.38</v>
      </c>
      <c r="F284" s="37">
        <v>0.38</v>
      </c>
      <c r="G284" s="37">
        <v>0.38</v>
      </c>
      <c r="H284" s="37">
        <v>0.38</v>
      </c>
    </row>
    <row r="286" spans="1:9" ht="15.75" customHeight="1" x14ac:dyDescent="0.2">
      <c r="A286" s="1" t="s">
        <v>104</v>
      </c>
      <c r="B286" s="1"/>
      <c r="C286" s="1"/>
      <c r="D286" s="1"/>
      <c r="E286" s="1"/>
      <c r="F286" s="1"/>
      <c r="G286" s="1"/>
      <c r="H286" s="1"/>
      <c r="I286" s="1"/>
    </row>
    <row r="287" spans="1:9" ht="15.75" customHeight="1" x14ac:dyDescent="0.2">
      <c r="A287" s="11" t="s">
        <v>84</v>
      </c>
      <c r="B287" s="11" t="s">
        <v>85</v>
      </c>
      <c r="C287" s="11" t="s">
        <v>86</v>
      </c>
      <c r="D287" s="11" t="s">
        <v>87</v>
      </c>
      <c r="E287" s="11" t="s">
        <v>88</v>
      </c>
      <c r="F287" s="11" t="s">
        <v>89</v>
      </c>
      <c r="G287" s="11" t="s">
        <v>90</v>
      </c>
      <c r="H287" s="11" t="s">
        <v>91</v>
      </c>
    </row>
    <row r="288" spans="1:9" ht="15.75" customHeight="1" x14ac:dyDescent="0.2">
      <c r="A288" s="19" t="s">
        <v>92</v>
      </c>
      <c r="B288" s="37">
        <v>-0.1842</v>
      </c>
      <c r="C288" s="37">
        <v>-0.1434</v>
      </c>
      <c r="D288" s="37">
        <v>-0.1026</v>
      </c>
      <c r="E288" s="37">
        <v>-6.1800000000000001E-2</v>
      </c>
      <c r="F288" s="37">
        <v>-2.1100000000000001E-2</v>
      </c>
      <c r="G288" s="37">
        <v>1.9699999999999999E-2</v>
      </c>
      <c r="H288" s="42">
        <v>6.0499999999999998E-2</v>
      </c>
    </row>
    <row r="289" spans="1:9" ht="15.75" customHeight="1" x14ac:dyDescent="0.2">
      <c r="A289" s="19" t="s">
        <v>93</v>
      </c>
      <c r="B289" s="37">
        <v>-9.2100000000000001E-2</v>
      </c>
      <c r="C289" s="37">
        <v>-4.6699999999999998E-2</v>
      </c>
      <c r="D289" s="37">
        <v>-1.2999999999999999E-3</v>
      </c>
      <c r="E289" s="37">
        <v>4.41E-2</v>
      </c>
      <c r="F289" s="42">
        <v>8.9499999999999996E-2</v>
      </c>
      <c r="G289" s="42">
        <v>0.13489999999999999</v>
      </c>
      <c r="H289" s="41">
        <v>0.18029999999999999</v>
      </c>
    </row>
    <row r="290" spans="1:9" ht="15.75" customHeight="1" x14ac:dyDescent="0.2">
      <c r="A290" s="23" t="s">
        <v>94</v>
      </c>
      <c r="B290" s="37">
        <v>0</v>
      </c>
      <c r="C290" s="42">
        <v>0.05</v>
      </c>
      <c r="D290" s="42">
        <v>0.1</v>
      </c>
      <c r="E290" s="41">
        <v>0.15</v>
      </c>
      <c r="F290" s="41">
        <v>0.2</v>
      </c>
      <c r="G290" s="41">
        <v>0.25</v>
      </c>
      <c r="H290" s="41">
        <v>0.3</v>
      </c>
    </row>
    <row r="291" spans="1:9" ht="15.75" customHeight="1" x14ac:dyDescent="0.2">
      <c r="A291" s="19" t="s">
        <v>95</v>
      </c>
      <c r="B291" s="42">
        <v>9.2100000000000001E-2</v>
      </c>
      <c r="C291" s="42">
        <v>0.1467</v>
      </c>
      <c r="D291" s="41">
        <v>0.20130000000000001</v>
      </c>
      <c r="E291" s="41">
        <v>0.25590000000000002</v>
      </c>
      <c r="F291" s="41">
        <v>0.3105</v>
      </c>
      <c r="G291" s="41">
        <v>0.36509999999999998</v>
      </c>
      <c r="H291" s="41">
        <v>0.41970000000000002</v>
      </c>
    </row>
    <row r="292" spans="1:9" ht="15.75" customHeight="1" x14ac:dyDescent="0.2">
      <c r="A292" s="19" t="s">
        <v>96</v>
      </c>
      <c r="B292" s="41">
        <v>0.1842</v>
      </c>
      <c r="C292" s="41">
        <v>0.24340000000000001</v>
      </c>
      <c r="D292" s="41">
        <v>0.30259999999999998</v>
      </c>
      <c r="E292" s="41">
        <v>0.36180000000000001</v>
      </c>
      <c r="F292" s="41">
        <v>0.42109999999999997</v>
      </c>
      <c r="G292" s="41">
        <v>0.4803</v>
      </c>
      <c r="H292" s="41">
        <v>0.53949999999999998</v>
      </c>
    </row>
    <row r="293" spans="1:9" ht="15.75" customHeight="1" x14ac:dyDescent="0.2">
      <c r="A293" s="19" t="s">
        <v>97</v>
      </c>
      <c r="B293" s="41">
        <v>0.27629999999999999</v>
      </c>
      <c r="C293" s="41">
        <v>0.34010000000000001</v>
      </c>
      <c r="D293" s="41">
        <v>0.40389999999999998</v>
      </c>
      <c r="E293" s="41">
        <v>0.46779999999999999</v>
      </c>
      <c r="F293" s="41">
        <v>0.53159999999999996</v>
      </c>
      <c r="G293" s="41">
        <v>0.59540000000000004</v>
      </c>
      <c r="H293" s="41">
        <v>0.65920000000000001</v>
      </c>
    </row>
    <row r="294" spans="1:9" ht="15.75" customHeight="1" x14ac:dyDescent="0.2">
      <c r="A294" s="19" t="s">
        <v>98</v>
      </c>
      <c r="B294" s="41">
        <v>0.36840000000000001</v>
      </c>
      <c r="C294" s="41">
        <v>0.43680000000000002</v>
      </c>
      <c r="D294" s="41">
        <v>0.50529999999999997</v>
      </c>
      <c r="E294" s="41">
        <v>0.57369999999999999</v>
      </c>
      <c r="F294" s="41">
        <v>0.6421</v>
      </c>
      <c r="G294" s="41">
        <v>0.71050000000000002</v>
      </c>
      <c r="H294" s="41">
        <v>0.77890000000000004</v>
      </c>
    </row>
    <row r="295" spans="1:9" ht="15.75" customHeight="1" x14ac:dyDescent="0.2">
      <c r="A295" s="19" t="s">
        <v>99</v>
      </c>
      <c r="B295" s="41">
        <v>0.46050000000000002</v>
      </c>
      <c r="C295" s="41">
        <v>0.53359999999999996</v>
      </c>
      <c r="D295" s="41">
        <v>0.60660000000000003</v>
      </c>
      <c r="E295" s="41">
        <v>0.67959999999999998</v>
      </c>
      <c r="F295" s="41">
        <v>0.75260000000000005</v>
      </c>
      <c r="G295" s="41">
        <v>0.82569999999999999</v>
      </c>
      <c r="H295" s="41">
        <v>0.89870000000000005</v>
      </c>
    </row>
    <row r="301" spans="1:9" ht="21.75" customHeight="1" x14ac:dyDescent="0.2">
      <c r="A301" s="6" t="s">
        <v>108</v>
      </c>
      <c r="B301" s="6"/>
      <c r="C301" s="6"/>
      <c r="D301" s="6"/>
      <c r="E301" s="6"/>
      <c r="F301" s="6"/>
      <c r="G301" s="6"/>
      <c r="H301" s="6"/>
      <c r="I301" s="6"/>
    </row>
    <row r="302" spans="1:9" ht="18" customHeight="1" x14ac:dyDescent="0.2">
      <c r="A302" s="2" t="s">
        <v>83</v>
      </c>
      <c r="B302" s="2"/>
      <c r="C302" s="2"/>
      <c r="D302" s="2"/>
      <c r="E302" s="2"/>
      <c r="F302" s="2"/>
      <c r="G302" s="2"/>
      <c r="H302" s="2"/>
      <c r="I302" s="2"/>
    </row>
    <row r="303" spans="1:9" ht="18" customHeight="1" x14ac:dyDescent="0.2">
      <c r="A303" s="25" t="s">
        <v>84</v>
      </c>
      <c r="B303" s="11" t="s">
        <v>85</v>
      </c>
      <c r="C303" s="11" t="s">
        <v>86</v>
      </c>
      <c r="D303" s="11" t="s">
        <v>87</v>
      </c>
      <c r="E303" s="11" t="s">
        <v>88</v>
      </c>
      <c r="F303" s="11" t="s">
        <v>89</v>
      </c>
      <c r="G303" s="11" t="s">
        <v>90</v>
      </c>
      <c r="H303" s="11" t="s">
        <v>91</v>
      </c>
    </row>
    <row r="304" spans="1:9" ht="15.75" customHeight="1" x14ac:dyDescent="0.2">
      <c r="A304" s="19" t="s">
        <v>92</v>
      </c>
      <c r="B304" s="37">
        <v>0.38400000000000001</v>
      </c>
      <c r="C304" s="37">
        <v>0.37219999999999998</v>
      </c>
      <c r="D304" s="37">
        <v>0.3604</v>
      </c>
      <c r="E304" s="37">
        <v>0.34860000000000002</v>
      </c>
      <c r="F304" s="37">
        <v>0.33679999999999999</v>
      </c>
      <c r="G304" s="37">
        <v>0.32500000000000001</v>
      </c>
      <c r="H304" s="38">
        <v>0.31319999999999998</v>
      </c>
    </row>
    <row r="305" spans="1:9" ht="15.75" customHeight="1" x14ac:dyDescent="0.2">
      <c r="A305" s="19" t="s">
        <v>93</v>
      </c>
      <c r="B305" s="37">
        <v>0.36199999999999999</v>
      </c>
      <c r="C305" s="37">
        <v>0.34910000000000002</v>
      </c>
      <c r="D305" s="37">
        <v>0.3362</v>
      </c>
      <c r="E305" s="37">
        <v>0.32329999999999998</v>
      </c>
      <c r="F305" s="38">
        <v>0.31040000000000001</v>
      </c>
      <c r="G305" s="40">
        <v>0.29749999999999999</v>
      </c>
      <c r="H305" s="40">
        <v>0.28460000000000002</v>
      </c>
    </row>
    <row r="306" spans="1:9" ht="15.75" customHeight="1" x14ac:dyDescent="0.2">
      <c r="A306" s="39" t="s">
        <v>94</v>
      </c>
      <c r="B306" s="37">
        <v>0.34</v>
      </c>
      <c r="C306" s="37">
        <v>0.32600000000000001</v>
      </c>
      <c r="D306" s="38">
        <v>0.312</v>
      </c>
      <c r="E306" s="40">
        <v>0.29799999999999999</v>
      </c>
      <c r="F306" s="40">
        <v>0.28399999999999997</v>
      </c>
      <c r="G306" s="40">
        <v>0.27</v>
      </c>
      <c r="H306" s="40">
        <v>0.25600000000000001</v>
      </c>
    </row>
    <row r="307" spans="1:9" ht="15.75" customHeight="1" x14ac:dyDescent="0.2">
      <c r="A307" s="19" t="s">
        <v>95</v>
      </c>
      <c r="B307" s="38">
        <v>0.318</v>
      </c>
      <c r="C307" s="38">
        <v>0.3029</v>
      </c>
      <c r="D307" s="40">
        <v>0.2878</v>
      </c>
      <c r="E307" s="40">
        <v>0.2727</v>
      </c>
      <c r="F307" s="40">
        <v>0.2576</v>
      </c>
      <c r="G307" s="40">
        <v>0.24249999999999999</v>
      </c>
      <c r="H307" s="40">
        <v>0.22739999999999999</v>
      </c>
    </row>
    <row r="308" spans="1:9" ht="15.75" customHeight="1" x14ac:dyDescent="0.2">
      <c r="A308" s="19" t="s">
        <v>96</v>
      </c>
      <c r="B308" s="40">
        <v>0.29599999999999999</v>
      </c>
      <c r="C308" s="40">
        <v>0.27979999999999999</v>
      </c>
      <c r="D308" s="40">
        <v>0.2636</v>
      </c>
      <c r="E308" s="40">
        <v>0.24740000000000001</v>
      </c>
      <c r="F308" s="40">
        <v>0.23119999999999999</v>
      </c>
      <c r="G308" s="40">
        <v>0.215</v>
      </c>
      <c r="H308" s="41">
        <v>0.1988</v>
      </c>
    </row>
    <row r="309" spans="1:9" ht="15.75" customHeight="1" x14ac:dyDescent="0.2">
      <c r="A309" s="19" t="s">
        <v>97</v>
      </c>
      <c r="B309" s="40">
        <v>0.27400000000000002</v>
      </c>
      <c r="C309" s="40">
        <v>0.25669999999999998</v>
      </c>
      <c r="D309" s="40">
        <v>0.2394</v>
      </c>
      <c r="E309" s="40">
        <v>0.22209999999999999</v>
      </c>
      <c r="F309" s="40">
        <v>0.20480000000000001</v>
      </c>
      <c r="G309" s="41">
        <v>0.1875</v>
      </c>
      <c r="H309" s="41">
        <v>0.17019999999999999</v>
      </c>
    </row>
    <row r="310" spans="1:9" ht="15.75" customHeight="1" x14ac:dyDescent="0.2">
      <c r="A310" s="19" t="s">
        <v>98</v>
      </c>
      <c r="B310" s="40">
        <v>0.252</v>
      </c>
      <c r="C310" s="40">
        <v>0.2336</v>
      </c>
      <c r="D310" s="40">
        <v>0.2152</v>
      </c>
      <c r="E310" s="41">
        <v>0.1968</v>
      </c>
      <c r="F310" s="41">
        <v>0.1784</v>
      </c>
      <c r="G310" s="41">
        <v>0.16</v>
      </c>
      <c r="H310" s="41">
        <v>0.1416</v>
      </c>
    </row>
    <row r="311" spans="1:9" ht="15.75" customHeight="1" x14ac:dyDescent="0.2">
      <c r="A311" s="19" t="s">
        <v>99</v>
      </c>
      <c r="B311" s="40">
        <v>0.23</v>
      </c>
      <c r="C311" s="40">
        <v>0.21049999999999999</v>
      </c>
      <c r="D311" s="41">
        <v>0.191</v>
      </c>
      <c r="E311" s="41">
        <v>0.17150000000000001</v>
      </c>
      <c r="F311" s="41">
        <v>0.152</v>
      </c>
      <c r="G311" s="41">
        <v>0.13250000000000001</v>
      </c>
      <c r="H311" s="41">
        <v>0.113</v>
      </c>
    </row>
    <row r="313" spans="1:9" ht="15.75" customHeight="1" x14ac:dyDescent="0.2">
      <c r="A313" s="1" t="s">
        <v>100</v>
      </c>
      <c r="B313" s="1"/>
      <c r="C313" s="1"/>
      <c r="D313" s="1"/>
      <c r="E313" s="1"/>
      <c r="F313" s="1"/>
      <c r="G313" s="1"/>
      <c r="H313" s="1"/>
      <c r="I313" s="1"/>
    </row>
    <row r="314" spans="1:9" ht="15.75" customHeight="1" x14ac:dyDescent="0.2">
      <c r="A314" s="11" t="s">
        <v>84</v>
      </c>
      <c r="B314" s="11" t="s">
        <v>85</v>
      </c>
      <c r="C314" s="11" t="s">
        <v>86</v>
      </c>
      <c r="D314" s="11" t="s">
        <v>87</v>
      </c>
      <c r="E314" s="11" t="s">
        <v>88</v>
      </c>
      <c r="F314" s="11" t="s">
        <v>89</v>
      </c>
      <c r="G314" s="11" t="s">
        <v>90</v>
      </c>
      <c r="H314" s="11" t="s">
        <v>91</v>
      </c>
    </row>
    <row r="315" spans="1:9" ht="15.75" customHeight="1" x14ac:dyDescent="0.2">
      <c r="A315" s="19" t="s">
        <v>92</v>
      </c>
      <c r="B315" s="37">
        <v>-0.12939999999999999</v>
      </c>
      <c r="C315" s="37">
        <v>-9.4700000000000006E-2</v>
      </c>
      <c r="D315" s="37">
        <v>-0.06</v>
      </c>
      <c r="E315" s="37">
        <v>-2.53E-2</v>
      </c>
      <c r="F315" s="37">
        <v>9.4000000000000004E-3</v>
      </c>
      <c r="G315" s="37">
        <v>4.41E-2</v>
      </c>
      <c r="H315" s="42">
        <v>7.8799999999999995E-2</v>
      </c>
    </row>
    <row r="316" spans="1:9" ht="15.75" customHeight="1" x14ac:dyDescent="0.2">
      <c r="A316" s="19" t="s">
        <v>93</v>
      </c>
      <c r="B316" s="37">
        <v>-6.4699999999999994E-2</v>
      </c>
      <c r="C316" s="37">
        <v>-2.6800000000000001E-2</v>
      </c>
      <c r="D316" s="37">
        <v>1.12E-2</v>
      </c>
      <c r="E316" s="37">
        <v>4.9099999999999998E-2</v>
      </c>
      <c r="F316" s="42">
        <v>8.7099999999999997E-2</v>
      </c>
      <c r="G316" s="42">
        <v>0.125</v>
      </c>
      <c r="H316" s="41">
        <v>0.16289999999999999</v>
      </c>
    </row>
    <row r="317" spans="1:9" ht="15.75" customHeight="1" x14ac:dyDescent="0.2">
      <c r="A317" s="23" t="s">
        <v>94</v>
      </c>
      <c r="B317" s="37">
        <v>0</v>
      </c>
      <c r="C317" s="37">
        <v>4.1200000000000001E-2</v>
      </c>
      <c r="D317" s="42">
        <v>8.2400000000000001E-2</v>
      </c>
      <c r="E317" s="42">
        <v>0.1235</v>
      </c>
      <c r="F317" s="41">
        <v>0.16470000000000001</v>
      </c>
      <c r="G317" s="41">
        <v>0.2059</v>
      </c>
      <c r="H317" s="41">
        <v>0.24709999999999999</v>
      </c>
    </row>
    <row r="318" spans="1:9" ht="15.75" customHeight="1" x14ac:dyDescent="0.2">
      <c r="A318" s="19" t="s">
        <v>95</v>
      </c>
      <c r="B318" s="42">
        <v>6.4699999999999994E-2</v>
      </c>
      <c r="C318" s="42">
        <v>0.1091</v>
      </c>
      <c r="D318" s="41">
        <v>0.1535</v>
      </c>
      <c r="E318" s="41">
        <v>0.19789999999999999</v>
      </c>
      <c r="F318" s="41">
        <v>0.2424</v>
      </c>
      <c r="G318" s="41">
        <v>0.2868</v>
      </c>
      <c r="H318" s="41">
        <v>0.33119999999999999</v>
      </c>
    </row>
    <row r="319" spans="1:9" ht="15.75" customHeight="1" x14ac:dyDescent="0.2">
      <c r="A319" s="19" t="s">
        <v>96</v>
      </c>
      <c r="B319" s="42">
        <v>0.12939999999999999</v>
      </c>
      <c r="C319" s="41">
        <v>0.17710000000000001</v>
      </c>
      <c r="D319" s="41">
        <v>0.22470000000000001</v>
      </c>
      <c r="E319" s="41">
        <v>0.27239999999999998</v>
      </c>
      <c r="F319" s="41">
        <v>0.32</v>
      </c>
      <c r="G319" s="41">
        <v>0.36759999999999998</v>
      </c>
      <c r="H319" s="41">
        <v>0.4153</v>
      </c>
    </row>
    <row r="320" spans="1:9" ht="15.75" customHeight="1" x14ac:dyDescent="0.2">
      <c r="A320" s="19" t="s">
        <v>97</v>
      </c>
      <c r="B320" s="41">
        <v>0.19409999999999999</v>
      </c>
      <c r="C320" s="41">
        <v>0.245</v>
      </c>
      <c r="D320" s="41">
        <v>0.2959</v>
      </c>
      <c r="E320" s="41">
        <v>0.3468</v>
      </c>
      <c r="F320" s="41">
        <v>0.39760000000000001</v>
      </c>
      <c r="G320" s="41">
        <v>0.44850000000000001</v>
      </c>
      <c r="H320" s="41">
        <v>0.49940000000000001</v>
      </c>
    </row>
    <row r="321" spans="1:9" ht="15.75" customHeight="1" x14ac:dyDescent="0.2">
      <c r="A321" s="19" t="s">
        <v>98</v>
      </c>
      <c r="B321" s="41">
        <v>0.25879999999999997</v>
      </c>
      <c r="C321" s="41">
        <v>0.31290000000000001</v>
      </c>
      <c r="D321" s="41">
        <v>0.36709999999999998</v>
      </c>
      <c r="E321" s="41">
        <v>0.42120000000000002</v>
      </c>
      <c r="F321" s="41">
        <v>0.4753</v>
      </c>
      <c r="G321" s="41">
        <v>0.52939999999999998</v>
      </c>
      <c r="H321" s="41">
        <v>0.58350000000000002</v>
      </c>
    </row>
    <row r="322" spans="1:9" ht="15.75" customHeight="1" x14ac:dyDescent="0.2">
      <c r="A322" s="19" t="s">
        <v>99</v>
      </c>
      <c r="B322" s="41">
        <v>0.32350000000000001</v>
      </c>
      <c r="C322" s="41">
        <v>0.38090000000000002</v>
      </c>
      <c r="D322" s="41">
        <v>0.43819999999999998</v>
      </c>
      <c r="E322" s="41">
        <v>0.49559999999999998</v>
      </c>
      <c r="F322" s="41">
        <v>0.55289999999999995</v>
      </c>
      <c r="G322" s="41">
        <v>0.61029999999999995</v>
      </c>
      <c r="H322" s="41">
        <v>0.66759999999999997</v>
      </c>
    </row>
    <row r="325" spans="1:9" ht="18" customHeight="1" x14ac:dyDescent="0.2">
      <c r="A325" s="2" t="s">
        <v>101</v>
      </c>
      <c r="B325" s="2"/>
      <c r="C325" s="2"/>
      <c r="D325" s="2"/>
      <c r="E325" s="2"/>
      <c r="F325" s="2"/>
      <c r="G325" s="2"/>
      <c r="H325" s="2"/>
      <c r="I325" s="2"/>
    </row>
    <row r="326" spans="1:9" ht="18" customHeight="1" x14ac:dyDescent="0.2">
      <c r="A326" s="25" t="s">
        <v>84</v>
      </c>
      <c r="B326" s="11" t="s">
        <v>85</v>
      </c>
      <c r="C326" s="11" t="s">
        <v>86</v>
      </c>
      <c r="D326" s="11" t="s">
        <v>87</v>
      </c>
      <c r="E326" s="11" t="s">
        <v>88</v>
      </c>
      <c r="F326" s="11" t="s">
        <v>89</v>
      </c>
      <c r="G326" s="11" t="s">
        <v>90</v>
      </c>
      <c r="H326" s="11" t="s">
        <v>91</v>
      </c>
    </row>
    <row r="327" spans="1:9" ht="15.75" customHeight="1" x14ac:dyDescent="0.2">
      <c r="A327" s="19" t="s">
        <v>92</v>
      </c>
      <c r="B327" s="37">
        <v>0.36199999999999999</v>
      </c>
      <c r="C327" s="37">
        <v>0.35610000000000003</v>
      </c>
      <c r="D327" s="37">
        <v>0.35020000000000001</v>
      </c>
      <c r="E327" s="37">
        <v>0.34429999999999999</v>
      </c>
      <c r="F327" s="37">
        <v>0.33839999999999998</v>
      </c>
      <c r="G327" s="37">
        <v>0.33250000000000002</v>
      </c>
      <c r="H327" s="37">
        <v>0.3266</v>
      </c>
    </row>
    <row r="328" spans="1:9" ht="15.75" customHeight="1" x14ac:dyDescent="0.2">
      <c r="A328" s="19" t="s">
        <v>93</v>
      </c>
      <c r="B328" s="37">
        <v>0.35099999999999998</v>
      </c>
      <c r="C328" s="37">
        <v>0.34460000000000002</v>
      </c>
      <c r="D328" s="37">
        <v>0.33810000000000001</v>
      </c>
      <c r="E328" s="37">
        <v>0.33169999999999999</v>
      </c>
      <c r="F328" s="37">
        <v>0.32519999999999999</v>
      </c>
      <c r="G328" s="38">
        <v>0.31879999999999997</v>
      </c>
      <c r="H328" s="38">
        <v>0.31230000000000002</v>
      </c>
    </row>
    <row r="329" spans="1:9" ht="15.75" customHeight="1" x14ac:dyDescent="0.2">
      <c r="A329" s="39" t="s">
        <v>94</v>
      </c>
      <c r="B329" s="37">
        <v>0.34</v>
      </c>
      <c r="C329" s="37">
        <v>0.33300000000000002</v>
      </c>
      <c r="D329" s="37">
        <v>0.32600000000000001</v>
      </c>
      <c r="E329" s="38">
        <v>0.31900000000000001</v>
      </c>
      <c r="F329" s="38">
        <v>0.312</v>
      </c>
      <c r="G329" s="38">
        <v>0.30499999999999999</v>
      </c>
      <c r="H329" s="40">
        <v>0.29799999999999999</v>
      </c>
    </row>
    <row r="330" spans="1:9" ht="15.75" customHeight="1" x14ac:dyDescent="0.2">
      <c r="A330" s="19" t="s">
        <v>95</v>
      </c>
      <c r="B330" s="37">
        <v>0.32900000000000001</v>
      </c>
      <c r="C330" s="38">
        <v>0.32150000000000001</v>
      </c>
      <c r="D330" s="38">
        <v>0.31390000000000001</v>
      </c>
      <c r="E330" s="38">
        <v>0.30640000000000001</v>
      </c>
      <c r="F330" s="40">
        <v>0.29880000000000001</v>
      </c>
      <c r="G330" s="40">
        <v>0.2913</v>
      </c>
      <c r="H330" s="40">
        <v>0.28370000000000001</v>
      </c>
    </row>
    <row r="331" spans="1:9" ht="15.75" customHeight="1" x14ac:dyDescent="0.2">
      <c r="A331" s="19" t="s">
        <v>96</v>
      </c>
      <c r="B331" s="38">
        <v>0.318</v>
      </c>
      <c r="C331" s="38">
        <v>0.30990000000000001</v>
      </c>
      <c r="D331" s="38">
        <v>0.30180000000000001</v>
      </c>
      <c r="E331" s="40">
        <v>0.29370000000000002</v>
      </c>
      <c r="F331" s="40">
        <v>0.28560000000000002</v>
      </c>
      <c r="G331" s="40">
        <v>0.27750000000000002</v>
      </c>
      <c r="H331" s="40">
        <v>0.26939999999999997</v>
      </c>
    </row>
    <row r="332" spans="1:9" ht="15.75" customHeight="1" x14ac:dyDescent="0.2">
      <c r="A332" s="19" t="s">
        <v>97</v>
      </c>
      <c r="B332" s="38">
        <v>0.307</v>
      </c>
      <c r="C332" s="40">
        <v>0.2984</v>
      </c>
      <c r="D332" s="40">
        <v>0.28970000000000001</v>
      </c>
      <c r="E332" s="40">
        <v>0.28110000000000002</v>
      </c>
      <c r="F332" s="40">
        <v>0.27239999999999998</v>
      </c>
      <c r="G332" s="40">
        <v>0.26369999999999999</v>
      </c>
      <c r="H332" s="40">
        <v>0.25509999999999999</v>
      </c>
    </row>
    <row r="333" spans="1:9" ht="15.75" customHeight="1" x14ac:dyDescent="0.2">
      <c r="A333" s="19" t="s">
        <v>98</v>
      </c>
      <c r="B333" s="40">
        <v>0.29599999999999999</v>
      </c>
      <c r="C333" s="40">
        <v>0.2868</v>
      </c>
      <c r="D333" s="40">
        <v>0.27760000000000001</v>
      </c>
      <c r="E333" s="40">
        <v>0.26840000000000003</v>
      </c>
      <c r="F333" s="40">
        <v>0.25919999999999999</v>
      </c>
      <c r="G333" s="40">
        <v>0.25</v>
      </c>
      <c r="H333" s="40">
        <v>0.24079999999999999</v>
      </c>
    </row>
    <row r="334" spans="1:9" ht="15.75" customHeight="1" x14ac:dyDescent="0.2">
      <c r="A334" s="19" t="s">
        <v>99</v>
      </c>
      <c r="B334" s="40">
        <v>0.28499999999999998</v>
      </c>
      <c r="C334" s="40">
        <v>0.2752</v>
      </c>
      <c r="D334" s="40">
        <v>0.26550000000000001</v>
      </c>
      <c r="E334" s="40">
        <v>0.25580000000000003</v>
      </c>
      <c r="F334" s="40">
        <v>0.246</v>
      </c>
      <c r="G334" s="40">
        <v>0.23630000000000001</v>
      </c>
      <c r="H334" s="40">
        <v>0.22650000000000001</v>
      </c>
    </row>
    <row r="336" spans="1:9" ht="15.75" customHeight="1" x14ac:dyDescent="0.2">
      <c r="A336" s="1" t="s">
        <v>102</v>
      </c>
      <c r="B336" s="1"/>
      <c r="C336" s="1"/>
      <c r="D336" s="1"/>
      <c r="E336" s="1"/>
      <c r="F336" s="1"/>
      <c r="G336" s="1"/>
      <c r="H336" s="1"/>
      <c r="I336" s="1"/>
    </row>
    <row r="337" spans="1:9" ht="15.75" customHeight="1" x14ac:dyDescent="0.2">
      <c r="A337" s="11" t="s">
        <v>84</v>
      </c>
      <c r="B337" s="11" t="s">
        <v>85</v>
      </c>
      <c r="C337" s="11" t="s">
        <v>86</v>
      </c>
      <c r="D337" s="11" t="s">
        <v>87</v>
      </c>
      <c r="E337" s="11" t="s">
        <v>88</v>
      </c>
      <c r="F337" s="11" t="s">
        <v>89</v>
      </c>
      <c r="G337" s="11" t="s">
        <v>90</v>
      </c>
      <c r="H337" s="11" t="s">
        <v>91</v>
      </c>
    </row>
    <row r="338" spans="1:9" ht="15.75" customHeight="1" x14ac:dyDescent="0.2">
      <c r="A338" s="19" t="s">
        <v>92</v>
      </c>
      <c r="B338" s="37">
        <v>-0.12939999999999999</v>
      </c>
      <c r="C338" s="37">
        <v>-9.4700000000000006E-2</v>
      </c>
      <c r="D338" s="37">
        <v>-0.06</v>
      </c>
      <c r="E338" s="37">
        <v>-2.53E-2</v>
      </c>
      <c r="F338" s="37">
        <v>9.4000000000000004E-3</v>
      </c>
      <c r="G338" s="37">
        <v>4.41E-2</v>
      </c>
      <c r="H338" s="42">
        <v>7.8799999999999995E-2</v>
      </c>
    </row>
    <row r="339" spans="1:9" ht="15.75" customHeight="1" x14ac:dyDescent="0.2">
      <c r="A339" s="19" t="s">
        <v>93</v>
      </c>
      <c r="B339" s="37">
        <v>-6.4699999999999994E-2</v>
      </c>
      <c r="C339" s="37">
        <v>-2.6800000000000001E-2</v>
      </c>
      <c r="D339" s="37">
        <v>1.12E-2</v>
      </c>
      <c r="E339" s="37">
        <v>4.9099999999999998E-2</v>
      </c>
      <c r="F339" s="42">
        <v>8.7099999999999997E-2</v>
      </c>
      <c r="G339" s="42">
        <v>0.125</v>
      </c>
      <c r="H339" s="41">
        <v>0.16289999999999999</v>
      </c>
    </row>
    <row r="340" spans="1:9" ht="15.75" customHeight="1" x14ac:dyDescent="0.2">
      <c r="A340" s="23" t="s">
        <v>94</v>
      </c>
      <c r="B340" s="37">
        <v>0</v>
      </c>
      <c r="C340" s="37">
        <v>4.1200000000000001E-2</v>
      </c>
      <c r="D340" s="42">
        <v>8.2400000000000001E-2</v>
      </c>
      <c r="E340" s="42">
        <v>0.1235</v>
      </c>
      <c r="F340" s="41">
        <v>0.16470000000000001</v>
      </c>
      <c r="G340" s="41">
        <v>0.2059</v>
      </c>
      <c r="H340" s="41">
        <v>0.24709999999999999</v>
      </c>
    </row>
    <row r="341" spans="1:9" ht="15.75" customHeight="1" x14ac:dyDescent="0.2">
      <c r="A341" s="19" t="s">
        <v>95</v>
      </c>
      <c r="B341" s="42">
        <v>6.4699999999999994E-2</v>
      </c>
      <c r="C341" s="42">
        <v>0.1091</v>
      </c>
      <c r="D341" s="41">
        <v>0.1535</v>
      </c>
      <c r="E341" s="41">
        <v>0.19789999999999999</v>
      </c>
      <c r="F341" s="41">
        <v>0.2424</v>
      </c>
      <c r="G341" s="41">
        <v>0.2868</v>
      </c>
      <c r="H341" s="41">
        <v>0.33119999999999999</v>
      </c>
    </row>
    <row r="342" spans="1:9" ht="15.75" customHeight="1" x14ac:dyDescent="0.2">
      <c r="A342" s="19" t="s">
        <v>96</v>
      </c>
      <c r="B342" s="42">
        <v>0.12939999999999999</v>
      </c>
      <c r="C342" s="41">
        <v>0.17710000000000001</v>
      </c>
      <c r="D342" s="41">
        <v>0.22470000000000001</v>
      </c>
      <c r="E342" s="41">
        <v>0.27239999999999998</v>
      </c>
      <c r="F342" s="41">
        <v>0.32</v>
      </c>
      <c r="G342" s="41">
        <v>0.36759999999999998</v>
      </c>
      <c r="H342" s="41">
        <v>0.4153</v>
      </c>
    </row>
    <row r="343" spans="1:9" ht="15.75" customHeight="1" x14ac:dyDescent="0.2">
      <c r="A343" s="19" t="s">
        <v>97</v>
      </c>
      <c r="B343" s="41">
        <v>0.19409999999999999</v>
      </c>
      <c r="C343" s="41">
        <v>0.245</v>
      </c>
      <c r="D343" s="41">
        <v>0.2959</v>
      </c>
      <c r="E343" s="41">
        <v>0.3468</v>
      </c>
      <c r="F343" s="41">
        <v>0.39760000000000001</v>
      </c>
      <c r="G343" s="41">
        <v>0.44850000000000001</v>
      </c>
      <c r="H343" s="41">
        <v>0.49940000000000001</v>
      </c>
    </row>
    <row r="344" spans="1:9" ht="15.75" customHeight="1" x14ac:dyDescent="0.2">
      <c r="A344" s="19" t="s">
        <v>98</v>
      </c>
      <c r="B344" s="41">
        <v>0.25879999999999997</v>
      </c>
      <c r="C344" s="41">
        <v>0.31290000000000001</v>
      </c>
      <c r="D344" s="41">
        <v>0.36709999999999998</v>
      </c>
      <c r="E344" s="41">
        <v>0.42120000000000002</v>
      </c>
      <c r="F344" s="41">
        <v>0.4753</v>
      </c>
      <c r="G344" s="41">
        <v>0.52939999999999998</v>
      </c>
      <c r="H344" s="41">
        <v>0.58350000000000002</v>
      </c>
    </row>
    <row r="345" spans="1:9" ht="15.75" customHeight="1" x14ac:dyDescent="0.2">
      <c r="A345" s="19" t="s">
        <v>99</v>
      </c>
      <c r="B345" s="41">
        <v>0.32350000000000001</v>
      </c>
      <c r="C345" s="41">
        <v>0.38090000000000002</v>
      </c>
      <c r="D345" s="41">
        <v>0.43819999999999998</v>
      </c>
      <c r="E345" s="41">
        <v>0.49559999999999998</v>
      </c>
      <c r="F345" s="41">
        <v>0.55289999999999995</v>
      </c>
      <c r="G345" s="41">
        <v>0.61029999999999995</v>
      </c>
      <c r="H345" s="41">
        <v>0.66759999999999997</v>
      </c>
    </row>
    <row r="348" spans="1:9" ht="18" customHeight="1" x14ac:dyDescent="0.2">
      <c r="A348" s="2" t="s">
        <v>103</v>
      </c>
      <c r="B348" s="2"/>
      <c r="C348" s="2"/>
      <c r="D348" s="2"/>
      <c r="E348" s="2"/>
      <c r="F348" s="2"/>
      <c r="G348" s="2"/>
      <c r="H348" s="2"/>
      <c r="I348" s="2"/>
    </row>
    <row r="349" spans="1:9" ht="18" customHeight="1" x14ac:dyDescent="0.2">
      <c r="A349" s="25" t="s">
        <v>84</v>
      </c>
      <c r="B349" s="11" t="s">
        <v>85</v>
      </c>
      <c r="C349" s="11" t="s">
        <v>86</v>
      </c>
      <c r="D349" s="11" t="s">
        <v>87</v>
      </c>
      <c r="E349" s="11" t="s">
        <v>88</v>
      </c>
      <c r="F349" s="11" t="s">
        <v>89</v>
      </c>
      <c r="G349" s="11" t="s">
        <v>90</v>
      </c>
      <c r="H349" s="11" t="s">
        <v>91</v>
      </c>
    </row>
    <row r="350" spans="1:9" ht="15.75" customHeight="1" x14ac:dyDescent="0.2">
      <c r="A350" s="19" t="s">
        <v>92</v>
      </c>
      <c r="B350" s="37">
        <v>0.34</v>
      </c>
      <c r="C350" s="37">
        <v>0.34</v>
      </c>
      <c r="D350" s="37">
        <v>0.34</v>
      </c>
      <c r="E350" s="37">
        <v>0.34</v>
      </c>
      <c r="F350" s="37">
        <v>0.34</v>
      </c>
      <c r="G350" s="37">
        <v>0.34</v>
      </c>
      <c r="H350" s="37">
        <v>0.34</v>
      </c>
    </row>
    <row r="351" spans="1:9" ht="15.75" customHeight="1" x14ac:dyDescent="0.2">
      <c r="A351" s="19" t="s">
        <v>93</v>
      </c>
      <c r="B351" s="37">
        <v>0.34</v>
      </c>
      <c r="C351" s="37">
        <v>0.34</v>
      </c>
      <c r="D351" s="37">
        <v>0.34</v>
      </c>
      <c r="E351" s="37">
        <v>0.34</v>
      </c>
      <c r="F351" s="37">
        <v>0.34</v>
      </c>
      <c r="G351" s="37">
        <v>0.34</v>
      </c>
      <c r="H351" s="37">
        <v>0.34</v>
      </c>
    </row>
    <row r="352" spans="1:9" ht="15.75" customHeight="1" x14ac:dyDescent="0.2">
      <c r="A352" s="39" t="s">
        <v>94</v>
      </c>
      <c r="B352" s="37">
        <v>0.34</v>
      </c>
      <c r="C352" s="37">
        <v>0.34</v>
      </c>
      <c r="D352" s="37">
        <v>0.34</v>
      </c>
      <c r="E352" s="37">
        <v>0.34</v>
      </c>
      <c r="F352" s="37">
        <v>0.34</v>
      </c>
      <c r="G352" s="37">
        <v>0.34</v>
      </c>
      <c r="H352" s="37">
        <v>0.34</v>
      </c>
    </row>
    <row r="353" spans="1:9" ht="15.75" customHeight="1" x14ac:dyDescent="0.2">
      <c r="A353" s="19" t="s">
        <v>95</v>
      </c>
      <c r="B353" s="37">
        <v>0.34</v>
      </c>
      <c r="C353" s="37">
        <v>0.34</v>
      </c>
      <c r="D353" s="37">
        <v>0.34</v>
      </c>
      <c r="E353" s="37">
        <v>0.34</v>
      </c>
      <c r="F353" s="37">
        <v>0.34</v>
      </c>
      <c r="G353" s="37">
        <v>0.34</v>
      </c>
      <c r="H353" s="37">
        <v>0.34</v>
      </c>
    </row>
    <row r="354" spans="1:9" ht="15.75" customHeight="1" x14ac:dyDescent="0.2">
      <c r="A354" s="19" t="s">
        <v>96</v>
      </c>
      <c r="B354" s="37">
        <v>0.34</v>
      </c>
      <c r="C354" s="37">
        <v>0.34</v>
      </c>
      <c r="D354" s="37">
        <v>0.34</v>
      </c>
      <c r="E354" s="37">
        <v>0.34</v>
      </c>
      <c r="F354" s="37">
        <v>0.34</v>
      </c>
      <c r="G354" s="37">
        <v>0.34</v>
      </c>
      <c r="H354" s="37">
        <v>0.34</v>
      </c>
    </row>
    <row r="355" spans="1:9" ht="15.75" customHeight="1" x14ac:dyDescent="0.2">
      <c r="A355" s="19" t="s">
        <v>97</v>
      </c>
      <c r="B355" s="37">
        <v>0.34</v>
      </c>
      <c r="C355" s="37">
        <v>0.34</v>
      </c>
      <c r="D355" s="37">
        <v>0.34</v>
      </c>
      <c r="E355" s="37">
        <v>0.34</v>
      </c>
      <c r="F355" s="37">
        <v>0.34</v>
      </c>
      <c r="G355" s="37">
        <v>0.34</v>
      </c>
      <c r="H355" s="37">
        <v>0.34</v>
      </c>
    </row>
    <row r="356" spans="1:9" ht="15.75" customHeight="1" x14ac:dyDescent="0.2">
      <c r="A356" s="19" t="s">
        <v>98</v>
      </c>
      <c r="B356" s="37">
        <v>0.34</v>
      </c>
      <c r="C356" s="37">
        <v>0.34</v>
      </c>
      <c r="D356" s="37">
        <v>0.34</v>
      </c>
      <c r="E356" s="37">
        <v>0.34</v>
      </c>
      <c r="F356" s="37">
        <v>0.34</v>
      </c>
      <c r="G356" s="37">
        <v>0.34</v>
      </c>
      <c r="H356" s="37">
        <v>0.34</v>
      </c>
    </row>
    <row r="357" spans="1:9" ht="15.75" customHeight="1" x14ac:dyDescent="0.2">
      <c r="A357" s="19" t="s">
        <v>99</v>
      </c>
      <c r="B357" s="37">
        <v>0.34</v>
      </c>
      <c r="C357" s="37">
        <v>0.34</v>
      </c>
      <c r="D357" s="37">
        <v>0.34</v>
      </c>
      <c r="E357" s="37">
        <v>0.34</v>
      </c>
      <c r="F357" s="37">
        <v>0.34</v>
      </c>
      <c r="G357" s="37">
        <v>0.34</v>
      </c>
      <c r="H357" s="37">
        <v>0.34</v>
      </c>
    </row>
    <row r="359" spans="1:9" ht="15.75" customHeight="1" x14ac:dyDescent="0.2">
      <c r="A359" s="1" t="s">
        <v>104</v>
      </c>
      <c r="B359" s="1"/>
      <c r="C359" s="1"/>
      <c r="D359" s="1"/>
      <c r="E359" s="1"/>
      <c r="F359" s="1"/>
      <c r="G359" s="1"/>
      <c r="H359" s="1"/>
      <c r="I359" s="1"/>
    </row>
    <row r="360" spans="1:9" ht="15.75" customHeight="1" x14ac:dyDescent="0.2">
      <c r="A360" s="11" t="s">
        <v>84</v>
      </c>
      <c r="B360" s="11" t="s">
        <v>85</v>
      </c>
      <c r="C360" s="11" t="s">
        <v>86</v>
      </c>
      <c r="D360" s="11" t="s">
        <v>87</v>
      </c>
      <c r="E360" s="11" t="s">
        <v>88</v>
      </c>
      <c r="F360" s="11" t="s">
        <v>89</v>
      </c>
      <c r="G360" s="11" t="s">
        <v>90</v>
      </c>
      <c r="H360" s="11" t="s">
        <v>91</v>
      </c>
    </row>
    <row r="361" spans="1:9" ht="15.75" customHeight="1" x14ac:dyDescent="0.2">
      <c r="A361" s="19" t="s">
        <v>92</v>
      </c>
      <c r="B361" s="37">
        <v>-0.12939999999999999</v>
      </c>
      <c r="C361" s="37">
        <v>-9.4700000000000006E-2</v>
      </c>
      <c r="D361" s="37">
        <v>-0.06</v>
      </c>
      <c r="E361" s="37">
        <v>-2.53E-2</v>
      </c>
      <c r="F361" s="37">
        <v>9.4000000000000004E-3</v>
      </c>
      <c r="G361" s="37">
        <v>4.41E-2</v>
      </c>
      <c r="H361" s="42">
        <v>7.8799999999999995E-2</v>
      </c>
    </row>
    <row r="362" spans="1:9" ht="15.75" customHeight="1" x14ac:dyDescent="0.2">
      <c r="A362" s="19" t="s">
        <v>93</v>
      </c>
      <c r="B362" s="37">
        <v>-6.4699999999999994E-2</v>
      </c>
      <c r="C362" s="37">
        <v>-2.6800000000000001E-2</v>
      </c>
      <c r="D362" s="37">
        <v>1.12E-2</v>
      </c>
      <c r="E362" s="37">
        <v>4.9099999999999998E-2</v>
      </c>
      <c r="F362" s="42">
        <v>8.7099999999999997E-2</v>
      </c>
      <c r="G362" s="42">
        <v>0.125</v>
      </c>
      <c r="H362" s="41">
        <v>0.16289999999999999</v>
      </c>
    </row>
    <row r="363" spans="1:9" ht="15.75" customHeight="1" x14ac:dyDescent="0.2">
      <c r="A363" s="23" t="s">
        <v>94</v>
      </c>
      <c r="B363" s="37">
        <v>0</v>
      </c>
      <c r="C363" s="37">
        <v>4.1200000000000001E-2</v>
      </c>
      <c r="D363" s="42">
        <v>8.2400000000000001E-2</v>
      </c>
      <c r="E363" s="42">
        <v>0.1235</v>
      </c>
      <c r="F363" s="41">
        <v>0.16470000000000001</v>
      </c>
      <c r="G363" s="41">
        <v>0.2059</v>
      </c>
      <c r="H363" s="41">
        <v>0.24709999999999999</v>
      </c>
    </row>
    <row r="364" spans="1:9" ht="15.75" customHeight="1" x14ac:dyDescent="0.2">
      <c r="A364" s="19" t="s">
        <v>95</v>
      </c>
      <c r="B364" s="42">
        <v>6.4699999999999994E-2</v>
      </c>
      <c r="C364" s="42">
        <v>0.1091</v>
      </c>
      <c r="D364" s="41">
        <v>0.1535</v>
      </c>
      <c r="E364" s="41">
        <v>0.19789999999999999</v>
      </c>
      <c r="F364" s="41">
        <v>0.2424</v>
      </c>
      <c r="G364" s="41">
        <v>0.2868</v>
      </c>
      <c r="H364" s="41">
        <v>0.33119999999999999</v>
      </c>
    </row>
    <row r="365" spans="1:9" ht="15.75" customHeight="1" x14ac:dyDescent="0.2">
      <c r="A365" s="19" t="s">
        <v>96</v>
      </c>
      <c r="B365" s="42">
        <v>0.12939999999999999</v>
      </c>
      <c r="C365" s="41">
        <v>0.17710000000000001</v>
      </c>
      <c r="D365" s="41">
        <v>0.22470000000000001</v>
      </c>
      <c r="E365" s="41">
        <v>0.27239999999999998</v>
      </c>
      <c r="F365" s="41">
        <v>0.32</v>
      </c>
      <c r="G365" s="41">
        <v>0.36759999999999998</v>
      </c>
      <c r="H365" s="41">
        <v>0.4153</v>
      </c>
    </row>
    <row r="366" spans="1:9" ht="15.75" customHeight="1" x14ac:dyDescent="0.2">
      <c r="A366" s="19" t="s">
        <v>97</v>
      </c>
      <c r="B366" s="41">
        <v>0.19409999999999999</v>
      </c>
      <c r="C366" s="41">
        <v>0.245</v>
      </c>
      <c r="D366" s="41">
        <v>0.2959</v>
      </c>
      <c r="E366" s="41">
        <v>0.3468</v>
      </c>
      <c r="F366" s="41">
        <v>0.39760000000000001</v>
      </c>
      <c r="G366" s="41">
        <v>0.44850000000000001</v>
      </c>
      <c r="H366" s="41">
        <v>0.49940000000000001</v>
      </c>
    </row>
    <row r="367" spans="1:9" ht="15.75" customHeight="1" x14ac:dyDescent="0.2">
      <c r="A367" s="19" t="s">
        <v>98</v>
      </c>
      <c r="B367" s="41">
        <v>0.25879999999999997</v>
      </c>
      <c r="C367" s="41">
        <v>0.31290000000000001</v>
      </c>
      <c r="D367" s="41">
        <v>0.36709999999999998</v>
      </c>
      <c r="E367" s="41">
        <v>0.42120000000000002</v>
      </c>
      <c r="F367" s="41">
        <v>0.4753</v>
      </c>
      <c r="G367" s="41">
        <v>0.52939999999999998</v>
      </c>
      <c r="H367" s="41">
        <v>0.58350000000000002</v>
      </c>
    </row>
    <row r="368" spans="1:9" ht="15.75" customHeight="1" x14ac:dyDescent="0.2">
      <c r="A368" s="19" t="s">
        <v>99</v>
      </c>
      <c r="B368" s="41">
        <v>0.32350000000000001</v>
      </c>
      <c r="C368" s="41">
        <v>0.38090000000000002</v>
      </c>
      <c r="D368" s="41">
        <v>0.43819999999999998</v>
      </c>
      <c r="E368" s="41">
        <v>0.49559999999999998</v>
      </c>
      <c r="F368" s="41">
        <v>0.55289999999999995</v>
      </c>
      <c r="G368" s="41">
        <v>0.61029999999999995</v>
      </c>
      <c r="H368" s="41">
        <v>0.66759999999999997</v>
      </c>
    </row>
  </sheetData>
  <mergeCells count="38">
    <mergeCell ref="A336:I336"/>
    <mergeCell ref="A348:I348"/>
    <mergeCell ref="A359:I359"/>
    <mergeCell ref="A286:I286"/>
    <mergeCell ref="A301:I301"/>
    <mergeCell ref="A302:I302"/>
    <mergeCell ref="A313:I313"/>
    <mergeCell ref="A325:I325"/>
    <mergeCell ref="A229:I229"/>
    <mergeCell ref="A240:I240"/>
    <mergeCell ref="A252:I252"/>
    <mergeCell ref="A263:I263"/>
    <mergeCell ref="A275:I275"/>
    <mergeCell ref="A179:I179"/>
    <mergeCell ref="A190:I190"/>
    <mergeCell ref="A202:I202"/>
    <mergeCell ref="A213:I213"/>
    <mergeCell ref="A228:I228"/>
    <mergeCell ref="A129:I129"/>
    <mergeCell ref="A140:I140"/>
    <mergeCell ref="A155:I155"/>
    <mergeCell ref="A156:I156"/>
    <mergeCell ref="A167:I167"/>
    <mergeCell ref="A82:I82"/>
    <mergeCell ref="A83:I83"/>
    <mergeCell ref="A94:I94"/>
    <mergeCell ref="A106:I106"/>
    <mergeCell ref="A117:I117"/>
    <mergeCell ref="A21:I21"/>
    <mergeCell ref="A33:I33"/>
    <mergeCell ref="A44:I44"/>
    <mergeCell ref="A56:I56"/>
    <mergeCell ref="A67:I67"/>
    <mergeCell ref="A1:P1"/>
    <mergeCell ref="A2:P2"/>
    <mergeCell ref="A4:F4"/>
    <mergeCell ref="A9:I9"/>
    <mergeCell ref="A10:I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R34" sqref="R34"/>
    </sheetView>
  </sheetViews>
  <sheetFormatPr baseColWidth="10" defaultColWidth="8.6640625" defaultRowHeight="15" x14ac:dyDescent="0.2"/>
  <cols>
    <col min="1" max="1" width="22" customWidth="1"/>
    <col min="2" max="6" width="12" customWidth="1"/>
    <col min="7" max="7" width="14" customWidth="1"/>
    <col min="8" max="8" width="24" customWidth="1"/>
    <col min="9" max="9" width="32" customWidth="1"/>
    <col min="10" max="10" width="12" customWidth="1"/>
  </cols>
  <sheetData>
    <row r="1" spans="1:10" ht="25.5" customHeight="1" x14ac:dyDescent="0.2">
      <c r="A1" s="5" t="s">
        <v>109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</row>
    <row r="3" spans="1:10" ht="7.5" customHeight="1" x14ac:dyDescent="0.2"/>
    <row r="4" spans="1:10" ht="19.5" customHeight="1" x14ac:dyDescent="0.2">
      <c r="A4" s="7" t="s">
        <v>111</v>
      </c>
      <c r="B4" s="7"/>
      <c r="C4" s="7"/>
      <c r="D4" s="7"/>
      <c r="E4" s="7"/>
      <c r="F4" s="7"/>
      <c r="G4" s="7"/>
      <c r="H4" s="7"/>
      <c r="I4" s="7"/>
      <c r="J4" s="7"/>
    </row>
    <row r="5" spans="1:10" ht="18" customHeight="1" x14ac:dyDescent="0.2">
      <c r="A5" s="11" t="s">
        <v>112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113</v>
      </c>
      <c r="H5" s="11" t="s">
        <v>114</v>
      </c>
      <c r="I5" s="11" t="s">
        <v>115</v>
      </c>
    </row>
    <row r="6" spans="1:10" ht="27" x14ac:dyDescent="0.2">
      <c r="A6" s="43" t="s">
        <v>116</v>
      </c>
      <c r="B6" s="44">
        <v>10420</v>
      </c>
      <c r="C6" s="44">
        <v>10139</v>
      </c>
      <c r="D6" s="44">
        <v>12341</v>
      </c>
      <c r="E6" s="44">
        <v>14218</v>
      </c>
      <c r="F6" s="44">
        <v>14870</v>
      </c>
      <c r="G6" s="29">
        <f>(F6/B6)^(1/4)-1</f>
        <v>9.2976469976923992E-2</v>
      </c>
      <c r="H6" s="29">
        <f>(F6-B6)/B6</f>
        <v>0.42706333973128596</v>
      </c>
      <c r="I6" s="45" t="s">
        <v>117</v>
      </c>
    </row>
    <row r="7" spans="1:10" ht="27" x14ac:dyDescent="0.2">
      <c r="A7" s="46" t="s">
        <v>118</v>
      </c>
      <c r="B7" s="47">
        <v>1990</v>
      </c>
      <c r="C7" s="47">
        <v>1920</v>
      </c>
      <c r="D7" s="47">
        <v>2135</v>
      </c>
      <c r="E7" s="47">
        <v>2561</v>
      </c>
      <c r="F7" s="47">
        <v>2680</v>
      </c>
      <c r="G7" s="29">
        <f>(F7/B7)^(1/4)-1</f>
        <v>7.7259739927494353E-2</v>
      </c>
      <c r="H7" s="29">
        <f>(F7-B7)/B7</f>
        <v>0.34673366834170855</v>
      </c>
      <c r="I7" s="45" t="s">
        <v>119</v>
      </c>
    </row>
    <row r="8" spans="1:10" ht="27" x14ac:dyDescent="0.2">
      <c r="A8" s="43" t="s">
        <v>120</v>
      </c>
      <c r="B8" s="21">
        <v>0.191</v>
      </c>
      <c r="C8" s="21">
        <v>0.189</v>
      </c>
      <c r="D8" s="21">
        <v>0.17299999999999999</v>
      </c>
      <c r="E8" s="21">
        <v>0.18</v>
      </c>
      <c r="F8" s="21">
        <v>0.18</v>
      </c>
      <c r="G8" s="29">
        <f>F8-B8</f>
        <v>-1.100000000000001E-2</v>
      </c>
      <c r="H8" s="29">
        <f>F8-B8</f>
        <v>-1.100000000000001E-2</v>
      </c>
      <c r="I8" s="45" t="s">
        <v>121</v>
      </c>
    </row>
    <row r="9" spans="1:10" ht="27" x14ac:dyDescent="0.2">
      <c r="A9" s="46" t="s">
        <v>122</v>
      </c>
      <c r="B9" s="13">
        <v>0.43</v>
      </c>
      <c r="C9" s="13">
        <v>0.41599999999999998</v>
      </c>
      <c r="D9" s="13">
        <v>0.45</v>
      </c>
      <c r="E9" s="13">
        <v>0.46800000000000003</v>
      </c>
      <c r="F9" s="13">
        <v>0.44900000000000001</v>
      </c>
      <c r="G9" s="29">
        <f>F9-B9</f>
        <v>1.9000000000000017E-2</v>
      </c>
      <c r="H9" s="29">
        <f>F9-B9</f>
        <v>1.9000000000000017E-2</v>
      </c>
      <c r="I9" s="45" t="s">
        <v>123</v>
      </c>
    </row>
    <row r="10" spans="1:10" ht="7.5" customHeight="1" x14ac:dyDescent="0.2"/>
    <row r="11" spans="1:10" ht="19.5" customHeight="1" x14ac:dyDescent="0.2">
      <c r="A11" s="6" t="s">
        <v>124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ht="18" customHeight="1" x14ac:dyDescent="0.2">
      <c r="A12" s="11" t="s">
        <v>112</v>
      </c>
      <c r="B12" s="11" t="s">
        <v>4</v>
      </c>
      <c r="C12" s="11" t="s">
        <v>5</v>
      </c>
      <c r="D12" s="11" t="s">
        <v>6</v>
      </c>
      <c r="E12" s="11" t="s">
        <v>7</v>
      </c>
      <c r="F12" s="11" t="s">
        <v>8</v>
      </c>
      <c r="G12" s="11" t="s">
        <v>113</v>
      </c>
      <c r="H12" s="11" t="s">
        <v>114</v>
      </c>
      <c r="I12" s="11" t="s">
        <v>115</v>
      </c>
    </row>
    <row r="13" spans="1:10" ht="27" x14ac:dyDescent="0.2">
      <c r="A13" s="43" t="s">
        <v>116</v>
      </c>
      <c r="B13" s="44">
        <v>13981</v>
      </c>
      <c r="C13" s="44">
        <v>14145</v>
      </c>
      <c r="D13" s="44">
        <v>16895</v>
      </c>
      <c r="E13" s="44">
        <v>19050</v>
      </c>
      <c r="F13" s="44">
        <v>20180</v>
      </c>
      <c r="G13" s="29">
        <f>(F13/B13)^(1/4)-1</f>
        <v>9.608877844914776E-2</v>
      </c>
      <c r="H13" s="29">
        <f>(F13-B13)/B13</f>
        <v>0.44338745440240324</v>
      </c>
      <c r="I13" s="45" t="s">
        <v>125</v>
      </c>
    </row>
    <row r="14" spans="1:10" ht="27" x14ac:dyDescent="0.2">
      <c r="A14" s="46" t="s">
        <v>118</v>
      </c>
      <c r="B14" s="47">
        <v>3710</v>
      </c>
      <c r="C14" s="47">
        <v>3760</v>
      </c>
      <c r="D14" s="47">
        <v>4089</v>
      </c>
      <c r="E14" s="47">
        <v>4581</v>
      </c>
      <c r="F14" s="47">
        <v>4839</v>
      </c>
      <c r="G14" s="29">
        <f>(F14/B14)^(1/4)-1</f>
        <v>6.8674454366888016E-2</v>
      </c>
      <c r="H14" s="29">
        <f>(F14-B14)/B14</f>
        <v>0.30431266846361188</v>
      </c>
      <c r="I14" s="45" t="s">
        <v>126</v>
      </c>
    </row>
    <row r="15" spans="1:10" ht="27" x14ac:dyDescent="0.2">
      <c r="A15" s="43" t="s">
        <v>120</v>
      </c>
      <c r="B15" s="21">
        <v>0.26500000000000001</v>
      </c>
      <c r="C15" s="21">
        <v>0.26600000000000001</v>
      </c>
      <c r="D15" s="21">
        <v>0.24199999999999999</v>
      </c>
      <c r="E15" s="21">
        <v>0.24</v>
      </c>
      <c r="F15" s="21">
        <v>0.24</v>
      </c>
      <c r="G15" s="29">
        <f>F15-B15</f>
        <v>-2.5000000000000022E-2</v>
      </c>
      <c r="H15" s="29">
        <f>F15-B15</f>
        <v>-2.5000000000000022E-2</v>
      </c>
      <c r="I15" s="45" t="s">
        <v>127</v>
      </c>
    </row>
    <row r="16" spans="1:10" ht="27" x14ac:dyDescent="0.2">
      <c r="A16" s="46" t="s">
        <v>122</v>
      </c>
      <c r="B16" s="13">
        <v>0.40200000000000002</v>
      </c>
      <c r="C16" s="13">
        <v>0.39200000000000002</v>
      </c>
      <c r="D16" s="13">
        <v>0.41599999999999998</v>
      </c>
      <c r="E16" s="13">
        <v>0.437</v>
      </c>
      <c r="F16" s="13">
        <v>0.41599999999999998</v>
      </c>
      <c r="G16" s="29">
        <f>F16-B16</f>
        <v>1.3999999999999957E-2</v>
      </c>
      <c r="H16" s="29">
        <f>F16-B16</f>
        <v>1.3999999999999957E-2</v>
      </c>
      <c r="I16" s="45" t="s">
        <v>128</v>
      </c>
    </row>
    <row r="17" spans="1:10" ht="7.5" customHeight="1" x14ac:dyDescent="0.2"/>
    <row r="18" spans="1:10" ht="19.5" customHeight="1" x14ac:dyDescent="0.2">
      <c r="A18" s="7" t="s">
        <v>129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8" customHeight="1" x14ac:dyDescent="0.2">
      <c r="A19" s="11" t="s">
        <v>130</v>
      </c>
      <c r="B19" s="11" t="s">
        <v>131</v>
      </c>
      <c r="C19" s="11" t="s">
        <v>132</v>
      </c>
      <c r="D19" s="11" t="s">
        <v>133</v>
      </c>
      <c r="E19" s="11" t="s">
        <v>134</v>
      </c>
      <c r="F19" s="11" t="s">
        <v>135</v>
      </c>
      <c r="G19" s="11" t="s">
        <v>136</v>
      </c>
      <c r="H19" s="11" t="s">
        <v>137</v>
      </c>
      <c r="I19" s="11" t="s">
        <v>24</v>
      </c>
    </row>
    <row r="20" spans="1:10" x14ac:dyDescent="0.2">
      <c r="A20" s="48" t="s">
        <v>4</v>
      </c>
      <c r="B20" s="49">
        <v>584</v>
      </c>
      <c r="C20" s="50" t="s">
        <v>138</v>
      </c>
      <c r="D20" s="49">
        <v>84.9</v>
      </c>
      <c r="E20" s="50" t="s">
        <v>139</v>
      </c>
      <c r="F20" s="50" t="s">
        <v>140</v>
      </c>
      <c r="G20" s="50" t="s">
        <v>141</v>
      </c>
      <c r="H20" s="51" t="s">
        <v>142</v>
      </c>
      <c r="I20" s="51" t="s">
        <v>143</v>
      </c>
    </row>
    <row r="21" spans="1:10" x14ac:dyDescent="0.2">
      <c r="A21" s="48" t="s">
        <v>5</v>
      </c>
      <c r="B21" s="47">
        <v>737</v>
      </c>
      <c r="C21" s="19" t="s">
        <v>144</v>
      </c>
      <c r="D21" s="47">
        <v>84.8</v>
      </c>
      <c r="E21" s="19" t="s">
        <v>145</v>
      </c>
      <c r="F21" s="19" t="s">
        <v>146</v>
      </c>
      <c r="G21" s="19" t="s">
        <v>147</v>
      </c>
      <c r="H21" s="52" t="s">
        <v>148</v>
      </c>
      <c r="I21" s="52" t="s">
        <v>149</v>
      </c>
    </row>
    <row r="22" spans="1:10" x14ac:dyDescent="0.2">
      <c r="A22" s="48" t="s">
        <v>6</v>
      </c>
      <c r="B22" s="49">
        <v>1250</v>
      </c>
      <c r="C22" s="50" t="s">
        <v>150</v>
      </c>
      <c r="D22" s="49">
        <v>87.2</v>
      </c>
      <c r="E22" s="50" t="s">
        <v>151</v>
      </c>
      <c r="F22" s="50" t="s">
        <v>152</v>
      </c>
      <c r="G22" s="50" t="s">
        <v>153</v>
      </c>
      <c r="H22" s="51" t="s">
        <v>154</v>
      </c>
      <c r="I22" s="51" t="s">
        <v>155</v>
      </c>
    </row>
    <row r="23" spans="1:10" x14ac:dyDescent="0.2">
      <c r="A23" s="48" t="s">
        <v>7</v>
      </c>
      <c r="B23" s="47">
        <v>1050</v>
      </c>
      <c r="C23" s="19" t="s">
        <v>156</v>
      </c>
      <c r="D23" s="47">
        <v>104.2</v>
      </c>
      <c r="E23" s="19" t="s">
        <v>157</v>
      </c>
      <c r="F23" s="19" t="s">
        <v>158</v>
      </c>
      <c r="G23" s="19" t="s">
        <v>159</v>
      </c>
      <c r="H23" s="52" t="s">
        <v>160</v>
      </c>
      <c r="I23" s="52" t="s">
        <v>161</v>
      </c>
    </row>
    <row r="24" spans="1:10" x14ac:dyDescent="0.2">
      <c r="A24" s="48" t="s">
        <v>8</v>
      </c>
      <c r="B24" s="49">
        <v>920</v>
      </c>
      <c r="C24" s="50" t="s">
        <v>162</v>
      </c>
      <c r="D24" s="49">
        <v>119</v>
      </c>
      <c r="E24" s="50" t="s">
        <v>163</v>
      </c>
      <c r="F24" s="50" t="s">
        <v>152</v>
      </c>
      <c r="G24" s="50" t="s">
        <v>164</v>
      </c>
      <c r="H24" s="51" t="s">
        <v>165</v>
      </c>
      <c r="I24" s="51" t="s">
        <v>166</v>
      </c>
    </row>
  </sheetData>
  <mergeCells count="5">
    <mergeCell ref="A1:J1"/>
    <mergeCell ref="A2:J2"/>
    <mergeCell ref="A4:J4"/>
    <mergeCell ref="A11:J11"/>
    <mergeCell ref="A18:J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COGS_Decomposition</vt:lpstr>
      <vt:lpstr>Scenario_Engine</vt:lpstr>
      <vt:lpstr>Peer_Context</vt:lpstr>
      <vt:lpstr>COGS_Decomposition!Print_Area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Ziba Mahdi</cp:lastModifiedBy>
  <cp:revision>0</cp:revision>
  <dcterms:created xsi:type="dcterms:W3CDTF">2026-06-25T07:54:21Z</dcterms:created>
  <dcterms:modified xsi:type="dcterms:W3CDTF">2026-06-25T21:55:51Z</dcterms:modified>
  <dc:language>en-US</dc:language>
</cp:coreProperties>
</file>